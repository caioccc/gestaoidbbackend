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AYDS VEIGA\Documents\IDB CEN Relatorio\Relatórios 2026\"/>
    </mc:Choice>
  </mc:AlternateContent>
  <xr:revisionPtr revIDLastSave="0" documentId="13_ncr:1_{A09C22D9-660D-4AF8-AB7E-4BC210A89EBD}" xr6:coauthVersionLast="47" xr6:coauthVersionMax="47" xr10:uidLastSave="{00000000-0000-0000-0000-000000000000}"/>
  <bookViews>
    <workbookView xWindow="-120" yWindow="-120" windowWidth="20730" windowHeight="11160" xr2:uid="{87B48CEE-57DE-4FFE-AFA5-B36F0A898C4C}"/>
  </bookViews>
  <sheets>
    <sheet name="REL. JAN" sheetId="2" r:id="rId1"/>
    <sheet name="REL.PESSOAL" sheetId="3" r:id="rId2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" i="2" l="1"/>
  <c r="L11" i="2" s="1"/>
  <c r="I23" i="2" l="1"/>
  <c r="C32" i="2"/>
  <c r="O7" i="2"/>
  <c r="O6" i="2"/>
  <c r="K11" i="2"/>
  <c r="K12" i="2"/>
  <c r="K13" i="2"/>
  <c r="D44" i="2"/>
  <c r="B42" i="2"/>
  <c r="L37" i="2"/>
  <c r="K37" i="2"/>
  <c r="J37" i="2"/>
  <c r="H37" i="2"/>
  <c r="G37" i="2"/>
  <c r="E37" i="2"/>
  <c r="C37" i="2"/>
  <c r="B37" i="2"/>
  <c r="F36" i="2"/>
  <c r="D36" i="2"/>
  <c r="F35" i="2"/>
  <c r="D35" i="2"/>
  <c r="D37" i="2"/>
  <c r="L32" i="2"/>
  <c r="K32" i="2"/>
  <c r="J32" i="2"/>
  <c r="H32" i="2"/>
  <c r="G32" i="2"/>
  <c r="F32" i="2"/>
  <c r="D32" i="2"/>
  <c r="B32" i="2"/>
  <c r="E31" i="2"/>
  <c r="E30" i="2"/>
  <c r="E29" i="2"/>
  <c r="E28" i="2"/>
  <c r="E27" i="2"/>
  <c r="J23" i="2"/>
  <c r="C23" i="2"/>
  <c r="B23" i="2"/>
  <c r="E22" i="2"/>
  <c r="K22" i="2" s="1"/>
  <c r="D22" i="2"/>
  <c r="E21" i="2"/>
  <c r="K21" i="2" s="1"/>
  <c r="D21" i="2"/>
  <c r="E20" i="2"/>
  <c r="D20" i="2"/>
  <c r="E19" i="2"/>
  <c r="K19" i="2"/>
  <c r="D19" i="2"/>
  <c r="L19" i="2" s="1"/>
  <c r="E18" i="2"/>
  <c r="K18" i="2"/>
  <c r="D18" i="2"/>
  <c r="L18" i="2" s="1"/>
  <c r="E17" i="2"/>
  <c r="K17" i="2"/>
  <c r="D17" i="2"/>
  <c r="E16" i="2"/>
  <c r="D16" i="2"/>
  <c r="O15" i="2"/>
  <c r="O14" i="2"/>
  <c r="J14" i="2"/>
  <c r="B14" i="2"/>
  <c r="O13" i="2"/>
  <c r="D13" i="2"/>
  <c r="O12" i="2"/>
  <c r="D12" i="2"/>
  <c r="L12" i="2" s="1"/>
  <c r="O11" i="2"/>
  <c r="O10" i="2"/>
  <c r="E10" i="2"/>
  <c r="K10" i="2" s="1"/>
  <c r="D10" i="2"/>
  <c r="O9" i="2"/>
  <c r="K9" i="2"/>
  <c r="D9" i="2"/>
  <c r="O8" i="2"/>
  <c r="H8" i="2"/>
  <c r="H14" i="2"/>
  <c r="G8" i="2"/>
  <c r="G14" i="2"/>
  <c r="F8" i="2"/>
  <c r="F14" i="2" s="1"/>
  <c r="E8" i="2"/>
  <c r="K8" i="2" s="1"/>
  <c r="D8" i="2"/>
  <c r="B48" i="3"/>
  <c r="B38" i="3"/>
  <c r="B33" i="3"/>
  <c r="K16" i="2"/>
  <c r="F37" i="2"/>
  <c r="E32" i="2"/>
  <c r="B39" i="3"/>
  <c r="L17" i="2" l="1"/>
  <c r="L22" i="2"/>
  <c r="L21" i="2"/>
  <c r="J24" i="2"/>
  <c r="L20" i="2"/>
  <c r="C24" i="2"/>
  <c r="D23" i="2"/>
  <c r="E23" i="2"/>
  <c r="K23" i="2"/>
  <c r="L16" i="2"/>
  <c r="B24" i="2"/>
  <c r="L13" i="2"/>
  <c r="L10" i="2"/>
  <c r="E14" i="2"/>
  <c r="K14" i="2"/>
  <c r="L9" i="2"/>
  <c r="D14" i="2"/>
  <c r="I8" i="2"/>
  <c r="I14" i="2" s="1"/>
  <c r="I24" i="2" s="1"/>
  <c r="L8" i="2"/>
  <c r="L23" i="2" l="1"/>
  <c r="D24" i="2"/>
  <c r="E24" i="2"/>
  <c r="K24" i="2"/>
  <c r="L14" i="2"/>
  <c r="L24" i="2" l="1"/>
</calcChain>
</file>

<file path=xl/sharedStrings.xml><?xml version="1.0" encoding="utf-8"?>
<sst xmlns="http://schemas.openxmlformats.org/spreadsheetml/2006/main" count="187" uniqueCount="167">
  <si>
    <t>RELATORIO MENSAL</t>
  </si>
  <si>
    <t>ESCRITÓRIO REGIONAL: Rua Isabel de Souza, 300</t>
  </si>
  <si>
    <t>Imbiribeira - CEP: 51200-010 - (81)33380312</t>
  </si>
  <si>
    <t>MOVIMENTO FINANCEIRO</t>
  </si>
  <si>
    <t>REMESSA FINANCEIRA</t>
  </si>
  <si>
    <t>TOTAL</t>
  </si>
  <si>
    <t>ESPECIFICAÇÕES</t>
  </si>
  <si>
    <t>SALDO</t>
  </si>
  <si>
    <t>ENTRADAS DO MÊS</t>
  </si>
  <si>
    <t xml:space="preserve">              SAIDAS DO MÊS</t>
  </si>
  <si>
    <t>DISTRITO</t>
  </si>
  <si>
    <t>EVANGELISMO</t>
  </si>
  <si>
    <t>DESPESAS</t>
  </si>
  <si>
    <t>TOTAL DAS</t>
  </si>
  <si>
    <t xml:space="preserve">DIZ. DOS DIZ. P/ REGIÃO 15% </t>
  </si>
  <si>
    <t>ANTERIOR</t>
  </si>
  <si>
    <t>ENTRADAS</t>
  </si>
  <si>
    <t>11% - Região</t>
  </si>
  <si>
    <t>1% F. Min.</t>
  </si>
  <si>
    <t>DIVERSAS</t>
  </si>
  <si>
    <t xml:space="preserve">DIZIMO DO PASTOR </t>
  </si>
  <si>
    <t>DIZIMOS DIVERSOS</t>
  </si>
  <si>
    <t>VISÃO CORPORATIVA</t>
  </si>
  <si>
    <t>OFERTA DOS CULTOS</t>
  </si>
  <si>
    <t xml:space="preserve">10% OFERTA ESCOLA BÍBLICA </t>
  </si>
  <si>
    <t>10% OF. MINIST. DA MULHER</t>
  </si>
  <si>
    <t>OFERTA ESPECIAL</t>
  </si>
  <si>
    <t>10% OF. MINIST. MASCULINO</t>
  </si>
  <si>
    <t>10% OF. MINIST. JUVENIL</t>
  </si>
  <si>
    <t>ENTRADAS ESPECIAIS</t>
  </si>
  <si>
    <t>10% OFERTA DEPTº INFANTIL</t>
  </si>
  <si>
    <t>SUB-TOTAL</t>
  </si>
  <si>
    <t>10% OF. MINIST. DE CASAIS</t>
  </si>
  <si>
    <t>DEPARTAMENTOS</t>
  </si>
  <si>
    <t>REGIÃO</t>
  </si>
  <si>
    <t>T. DESPESAS</t>
  </si>
  <si>
    <t>10% OF. DEPTº DE MISSÕES</t>
  </si>
  <si>
    <t>ESCOLA DOMINICAL</t>
  </si>
  <si>
    <t>MINIST. DA MULHER</t>
  </si>
  <si>
    <t>OFERTA MISSIONÁRIA</t>
  </si>
  <si>
    <t>MINIST. MASCULINO</t>
  </si>
  <si>
    <t>MINIST. JUVENIL</t>
  </si>
  <si>
    <t xml:space="preserve">OUTRAS: </t>
  </si>
  <si>
    <t>DEPTO. INFANTIL</t>
  </si>
  <si>
    <t>DEPTO. CASAIS</t>
  </si>
  <si>
    <t>TOTAL ENVIADO / REGIÃO</t>
  </si>
  <si>
    <t>TOTAL GERAL</t>
  </si>
  <si>
    <t>MOVIMENTO ESTATISTICO DOS DEPARTAMENTOS</t>
  </si>
  <si>
    <t xml:space="preserve">  Ajuda Pastoral: R$:</t>
  </si>
  <si>
    <t>Matricula</t>
  </si>
  <si>
    <t>Presentes</t>
  </si>
  <si>
    <t>Visitantes</t>
  </si>
  <si>
    <t>Total Frequên.</t>
  </si>
  <si>
    <t>Reuniões</t>
  </si>
  <si>
    <t>Convertidos</t>
  </si>
  <si>
    <t>Bat. E. Santo</t>
  </si>
  <si>
    <t>Hospitais</t>
  </si>
  <si>
    <t>Lares</t>
  </si>
  <si>
    <t>Cul. Ar livre</t>
  </si>
  <si>
    <t>MINIST. CASAIS</t>
  </si>
  <si>
    <t>OBSERVAÇÃO</t>
  </si>
  <si>
    <t>MINIST.INF. E ADOLEC.</t>
  </si>
  <si>
    <t>MISSÕES</t>
  </si>
  <si>
    <t>TOTAIS</t>
  </si>
  <si>
    <t xml:space="preserve">MOVIMENTO  ESTATISTICO  DA  ESCOLA  BIBLICA </t>
  </si>
  <si>
    <t>Ausentes</t>
  </si>
  <si>
    <t>Total Freq.</t>
  </si>
  <si>
    <t>Biblias</t>
  </si>
  <si>
    <t>Revistas</t>
  </si>
  <si>
    <t>Professores</t>
  </si>
  <si>
    <t>Nº Classes</t>
  </si>
  <si>
    <t>Esc.Celebr.</t>
  </si>
  <si>
    <t>ADULTOS</t>
  </si>
  <si>
    <t>CRIANÇAS</t>
  </si>
  <si>
    <t xml:space="preserve"> MEMBRESIA</t>
  </si>
  <si>
    <t>INFORMAÇÕES GERAIS</t>
  </si>
  <si>
    <t xml:space="preserve"> OUTRAS INFORMAÇÕES</t>
  </si>
  <si>
    <t xml:space="preserve">         SECRETÁRIO / TESOUREIRO:</t>
  </si>
  <si>
    <t>GANHOS</t>
  </si>
  <si>
    <t>Perdidos</t>
  </si>
  <si>
    <t>Congregados</t>
  </si>
  <si>
    <t>R. membros</t>
  </si>
  <si>
    <t>Valor da Propriedade (R$)</t>
  </si>
  <si>
    <t>BATIZADOS</t>
  </si>
  <si>
    <t>Transf.</t>
  </si>
  <si>
    <t>Crianças</t>
  </si>
  <si>
    <t>R. Concelho</t>
  </si>
  <si>
    <t>Divida Pendente? (     ) Não  (       ) Sim</t>
  </si>
  <si>
    <t xml:space="preserve">        PASTOR TITULAR:</t>
  </si>
  <si>
    <t>TRANSFERIDOS</t>
  </si>
  <si>
    <t>Excluidos</t>
  </si>
  <si>
    <t>Congregaçõe</t>
  </si>
  <si>
    <t>R. Especial</t>
  </si>
  <si>
    <t>A quem Deve?</t>
  </si>
  <si>
    <t>Desmemb.</t>
  </si>
  <si>
    <t>Santa Ceia</t>
  </si>
  <si>
    <t xml:space="preserve">     SUPERVISOR REGIONAL:</t>
  </si>
  <si>
    <t>MEM. ANTERIOR</t>
  </si>
  <si>
    <t>Falecidos</t>
  </si>
  <si>
    <t>Batismo</t>
  </si>
  <si>
    <t>Quanto deve? (R$)</t>
  </si>
  <si>
    <t>MEM. ATUAL</t>
  </si>
  <si>
    <t>Nº  Memb. Neste Mês</t>
  </si>
  <si>
    <t>Recebido: ___/______/____</t>
  </si>
  <si>
    <t>Atividades Ministeriais</t>
  </si>
  <si>
    <t>Resultados Ministeriais</t>
  </si>
  <si>
    <t>Cultos dirigidos:</t>
  </si>
  <si>
    <t>Pessoas Convertidas:</t>
  </si>
  <si>
    <t>Sermões Pregados:</t>
  </si>
  <si>
    <t>Pessoas Santificadas:</t>
  </si>
  <si>
    <t>Estudos Ministrados:</t>
  </si>
  <si>
    <t>Pessoas Batizadas:</t>
  </si>
  <si>
    <t>Pessoas Visitadas:</t>
  </si>
  <si>
    <t>Pessoas Membradas:</t>
  </si>
  <si>
    <t>Pessoas Evangelizadas:</t>
  </si>
  <si>
    <t>Pessoas Batizadas c/ E.Santo:</t>
  </si>
  <si>
    <t>Folhetos Distribuidos:</t>
  </si>
  <si>
    <t>Congregação Organizada:</t>
  </si>
  <si>
    <t>Pessoas Aconselhadas:</t>
  </si>
  <si>
    <t>Igreja Organizada:</t>
  </si>
  <si>
    <t>Cultos Domésticos:</t>
  </si>
  <si>
    <t>Batismos Realizados:</t>
  </si>
  <si>
    <t>Horas de Estudo:</t>
  </si>
  <si>
    <t>Relatório Financeiro</t>
  </si>
  <si>
    <t>Recebimentos</t>
  </si>
  <si>
    <t>Ajuda Ministérial da Região:</t>
  </si>
  <si>
    <t>Ajuda Ministerial da Igreja:</t>
  </si>
  <si>
    <t>Ofertas diversas:</t>
  </si>
  <si>
    <t>Trabalho Secular:</t>
  </si>
  <si>
    <t>Total</t>
  </si>
  <si>
    <t>Pagamentos</t>
  </si>
  <si>
    <t>Dizimo Ajuda Ministerial da Região:</t>
  </si>
  <si>
    <t>Dizimo Ajuda Ministerial da Igreja:</t>
  </si>
  <si>
    <t>Dizimo secular:</t>
  </si>
  <si>
    <t>Saldo ao Ministro</t>
  </si>
  <si>
    <t>Valor Entregue no Escritório Regional</t>
  </si>
  <si>
    <t>15% dos Dizimos:</t>
  </si>
  <si>
    <t>10% do Dizimo Ministérial:</t>
  </si>
  <si>
    <t>10% das entradas dos ministérios:</t>
  </si>
  <si>
    <t>Oferta/Missões Regional / Nacional</t>
  </si>
  <si>
    <t>Revista O Aluno Pentecostal</t>
  </si>
  <si>
    <t>Mbros  Mês Passado</t>
  </si>
  <si>
    <t>DEPTO. DE MISSÕES</t>
  </si>
  <si>
    <t>Conv/Recon</t>
  </si>
  <si>
    <t xml:space="preserve"> </t>
  </si>
  <si>
    <t>MISSÕES É 10</t>
  </si>
  <si>
    <t>]</t>
  </si>
  <si>
    <t>José Roberto Gomes da Silva</t>
  </si>
  <si>
    <r>
      <t>Ministro</t>
    </r>
    <r>
      <rPr>
        <sz val="12"/>
        <color indexed="8"/>
        <rFont val="Calibri"/>
        <family val="2"/>
      </rPr>
      <t xml:space="preserve">: </t>
    </r>
  </si>
  <si>
    <r>
      <t>Grau</t>
    </r>
    <r>
      <rPr>
        <sz val="12"/>
        <color indexed="8"/>
        <rFont val="Calibri"/>
        <family val="2"/>
      </rPr>
      <t xml:space="preserve">: </t>
    </r>
  </si>
  <si>
    <r>
      <t>Credencial</t>
    </r>
    <r>
      <rPr>
        <sz val="12"/>
        <color indexed="8"/>
        <rFont val="Calibri"/>
        <family val="2"/>
      </rPr>
      <t xml:space="preserve">: </t>
    </r>
  </si>
  <si>
    <r>
      <t>Função Ministerial</t>
    </r>
    <r>
      <rPr>
        <sz val="12"/>
        <color indexed="8"/>
        <rFont val="Calibri"/>
        <family val="2"/>
      </rPr>
      <t xml:space="preserve">: </t>
    </r>
  </si>
  <si>
    <r>
      <t>Membro</t>
    </r>
    <r>
      <rPr>
        <sz val="12"/>
        <color indexed="8"/>
        <rFont val="Calibri"/>
        <family val="2"/>
      </rPr>
      <t xml:space="preserve">:  </t>
    </r>
  </si>
  <si>
    <r>
      <t>Ministério Desempenhado em</t>
    </r>
    <r>
      <rPr>
        <sz val="12"/>
        <color indexed="8"/>
        <rFont val="Calibri"/>
        <family val="2"/>
      </rPr>
      <t xml:space="preserve">: </t>
    </r>
  </si>
  <si>
    <t xml:space="preserve">Relatório Ministerial do Mês de </t>
  </si>
  <si>
    <t>OFERTA CONSTRUÇÃO</t>
  </si>
  <si>
    <t>COMPLEMENTO SEGURO</t>
  </si>
  <si>
    <t>SEGURO</t>
  </si>
  <si>
    <t>PASTORAL</t>
  </si>
  <si>
    <r>
      <t xml:space="preserve">CIDADE: CAMPINA GRANDE    </t>
    </r>
    <r>
      <rPr>
        <sz val="12"/>
        <color rgb="FF000000"/>
        <rFont val="Calibri"/>
        <family val="2"/>
      </rPr>
      <t xml:space="preserve">          ESTADO DO: PARAÍBA</t>
    </r>
  </si>
  <si>
    <r>
      <t xml:space="preserve">MÊS: JANEIRO - ANO: </t>
    </r>
    <r>
      <rPr>
        <b/>
        <sz val="12"/>
        <rFont val="Calibri"/>
        <family val="2"/>
      </rPr>
      <t>2026</t>
    </r>
    <r>
      <rPr>
        <sz val="12"/>
        <rFont val="Calibri"/>
        <family val="2"/>
      </rPr>
      <t xml:space="preserve"> -</t>
    </r>
    <r>
      <rPr>
        <b/>
        <sz val="12"/>
        <rFont val="Calibri"/>
        <family val="2"/>
      </rPr>
      <t>IDB - CEN CG</t>
    </r>
  </si>
  <si>
    <t xml:space="preserve">Seguro Pastoral: Euclides </t>
  </si>
  <si>
    <t>José Euclides e Carlos Lira</t>
  </si>
  <si>
    <t>Glayds Richeles Araújo Veiga</t>
  </si>
  <si>
    <t>Francisco José Barros da Silva</t>
  </si>
  <si>
    <t>No mês de Janeiro não tivemos a realização de EBD</t>
  </si>
  <si>
    <t>Realização de EBD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</si>
</sst>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#,##0.00;[Red]#,##0.00"/>
    <numFmt numFmtId="166" formatCode="_-* #,##0.00_-;\-* #,##0.00_-;_-* &quot;-&quot;??_-;_-@"/>
  </numFmts>
  <fonts count="44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sz val="10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b/>
      <u/>
      <sz val="12"/>
      <name val="Calibri"/>
      <family val="2"/>
    </font>
    <font>
      <sz val="12"/>
      <color theme="1"/>
      <name val="Calibri"/>
      <family val="2"/>
      <scheme val="minor"/>
    </font>
    <font>
      <sz val="12"/>
      <color indexed="8"/>
      <name val="Calibri"/>
      <family val="2"/>
    </font>
    <font>
      <b/>
      <sz val="10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1"/>
      <name val="Calibri"/>
      <family val="2"/>
    </font>
    <font>
      <sz val="9"/>
      <name val="Tahoma"/>
      <family val="2"/>
    </font>
    <font>
      <b/>
      <sz val="7"/>
      <name val="Tahoma"/>
      <family val="2"/>
    </font>
    <font>
      <sz val="8"/>
      <name val="Calibri"/>
      <family val="2"/>
    </font>
    <font>
      <b/>
      <sz val="10"/>
      <name val="Tahoma"/>
      <family val="2"/>
    </font>
    <font>
      <b/>
      <sz val="11"/>
      <name val="Calibri"/>
      <family val="2"/>
    </font>
    <font>
      <b/>
      <sz val="13"/>
      <name val="Calibri"/>
      <family val="2"/>
    </font>
    <font>
      <b/>
      <sz val="11"/>
      <name val="Tahoma"/>
      <family val="2"/>
    </font>
    <font>
      <sz val="7"/>
      <name val="Calibri"/>
      <family val="2"/>
    </font>
    <font>
      <b/>
      <i/>
      <sz val="7"/>
      <name val="Tahoma"/>
      <family val="2"/>
    </font>
    <font>
      <b/>
      <sz val="10"/>
      <name val="Arial"/>
      <family val="2"/>
    </font>
    <font>
      <i/>
      <sz val="10"/>
      <name val="Arial"/>
      <family val="2"/>
    </font>
    <font>
      <b/>
      <i/>
      <sz val="14"/>
      <name val="Arial"/>
      <family val="2"/>
    </font>
    <font>
      <b/>
      <sz val="12"/>
      <name val="Arial"/>
      <family val="2"/>
    </font>
    <font>
      <b/>
      <sz val="7"/>
      <name val="Calibri"/>
      <family val="2"/>
    </font>
    <font>
      <b/>
      <sz val="14"/>
      <color rgb="FFFFFFFF"/>
      <name val="Calibri"/>
      <family val="2"/>
    </font>
    <font>
      <sz val="12"/>
      <color rgb="FF000000"/>
      <name val="Calibri"/>
      <family val="2"/>
    </font>
    <font>
      <b/>
      <sz val="13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8"/>
      <color rgb="FF000000"/>
      <name val="Calibri"/>
      <family val="2"/>
    </font>
    <font>
      <sz val="7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2"/>
      <color rgb="FFFFFFFF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/>
      <sz val="12"/>
      <color rgb="FFFF0000"/>
      <name val="Calibri"/>
      <family val="2"/>
    </font>
    <font>
      <sz val="10"/>
      <color rgb="FF000000"/>
      <name val="Tahoma"/>
      <family val="2"/>
    </font>
    <font>
      <sz val="8"/>
      <color rgb="FFFF0000"/>
      <name val="Calibri"/>
      <family val="2"/>
    </font>
    <font>
      <b/>
      <sz val="10"/>
      <color rgb="FF000000"/>
      <name val="Tahoma"/>
      <family val="2"/>
    </font>
    <font>
      <b/>
      <sz val="8"/>
      <color rgb="FFFF0000"/>
      <name val="Calibri"/>
      <family val="2"/>
    </font>
    <font>
      <b/>
      <sz val="7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08080"/>
        <bgColor rgb="FF808080"/>
      </patternFill>
    </fill>
    <fill>
      <patternFill patternType="solid">
        <fgColor rgb="FFD8D8D8"/>
        <bgColor rgb="FFD8D8D8"/>
      </patternFill>
    </fill>
    <fill>
      <patternFill patternType="solid">
        <fgColor theme="0" tint="-0.14999847407452621"/>
        <bgColor rgb="FFD8D8D8"/>
      </patternFill>
    </fill>
    <fill>
      <patternFill patternType="solid">
        <fgColor theme="0"/>
        <bgColor rgb="FFD8D8D8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8D8D8"/>
      </patternFill>
    </fill>
  </fills>
  <borders count="6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32">
    <xf numFmtId="0" fontId="0" fillId="0" borderId="0" xfId="0"/>
    <xf numFmtId="0" fontId="2" fillId="0" borderId="0" xfId="0" applyFont="1"/>
    <xf numFmtId="0" fontId="0" fillId="0" borderId="0" xfId="0" applyProtection="1">
      <protection locked="0"/>
    </xf>
    <xf numFmtId="0" fontId="0" fillId="0" borderId="4" xfId="0" applyBorder="1" applyProtection="1">
      <protection locked="0"/>
    </xf>
    <xf numFmtId="0" fontId="19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22" fillId="0" borderId="0" xfId="0" applyFont="1" applyAlignment="1">
      <alignment horizontal="center"/>
    </xf>
    <xf numFmtId="0" fontId="24" fillId="0" borderId="4" xfId="0" applyFont="1" applyBorder="1" applyProtection="1">
      <protection locked="0"/>
    </xf>
    <xf numFmtId="0" fontId="21" fillId="0" borderId="4" xfId="0" applyFont="1" applyBorder="1" applyProtection="1">
      <protection locked="0"/>
    </xf>
    <xf numFmtId="0" fontId="6" fillId="0" borderId="4" xfId="0" applyFont="1" applyBorder="1" applyProtection="1">
      <protection locked="0"/>
    </xf>
    <xf numFmtId="0" fontId="6" fillId="0" borderId="0" xfId="0" applyFont="1" applyProtection="1">
      <protection locked="0"/>
    </xf>
    <xf numFmtId="0" fontId="0" fillId="0" borderId="6" xfId="0" applyBorder="1"/>
    <xf numFmtId="0" fontId="0" fillId="0" borderId="6" xfId="0" applyBorder="1" applyProtection="1">
      <protection locked="0"/>
    </xf>
    <xf numFmtId="0" fontId="0" fillId="0" borderId="5" xfId="0" applyBorder="1"/>
    <xf numFmtId="0" fontId="0" fillId="0" borderId="5" xfId="0" applyBorder="1" applyProtection="1">
      <protection locked="0"/>
    </xf>
    <xf numFmtId="0" fontId="0" fillId="0" borderId="3" xfId="0" applyBorder="1"/>
    <xf numFmtId="0" fontId="21" fillId="0" borderId="8" xfId="0" applyFont="1" applyBorder="1" applyAlignment="1">
      <alignment horizontal="center"/>
    </xf>
    <xf numFmtId="165" fontId="0" fillId="0" borderId="5" xfId="0" applyNumberFormat="1" applyBorder="1" applyProtection="1">
      <protection locked="0"/>
    </xf>
    <xf numFmtId="0" fontId="21" fillId="3" borderId="5" xfId="0" applyFont="1" applyFill="1" applyBorder="1" applyAlignment="1">
      <alignment horizontal="center"/>
    </xf>
    <xf numFmtId="165" fontId="21" fillId="3" borderId="5" xfId="0" applyNumberFormat="1" applyFont="1" applyFill="1" applyBorder="1"/>
    <xf numFmtId="0" fontId="21" fillId="0" borderId="0" xfId="0" applyFont="1" applyAlignment="1">
      <alignment horizontal="center"/>
    </xf>
    <xf numFmtId="165" fontId="0" fillId="0" borderId="0" xfId="0" applyNumberFormat="1"/>
    <xf numFmtId="0" fontId="21" fillId="4" borderId="5" xfId="0" applyFont="1" applyFill="1" applyBorder="1" applyAlignment="1">
      <alignment horizontal="center"/>
    </xf>
    <xf numFmtId="165" fontId="21" fillId="4" borderId="5" xfId="0" applyNumberFormat="1" applyFont="1" applyFill="1" applyBorder="1"/>
    <xf numFmtId="0" fontId="0" fillId="0" borderId="0" xfId="0" applyAlignment="1">
      <alignment horizontal="center"/>
    </xf>
    <xf numFmtId="0" fontId="1" fillId="0" borderId="9" xfId="0" applyFont="1" applyBorder="1" applyAlignment="1">
      <alignment vertical="center"/>
    </xf>
    <xf numFmtId="0" fontId="0" fillId="0" borderId="10" xfId="0" applyBorder="1"/>
    <xf numFmtId="0" fontId="2" fillId="0" borderId="10" xfId="0" applyFont="1" applyBorder="1"/>
    <xf numFmtId="0" fontId="2" fillId="0" borderId="14" xfId="0" applyFont="1" applyBorder="1"/>
    <xf numFmtId="0" fontId="3" fillId="0" borderId="15" xfId="0" applyFont="1" applyBorder="1"/>
    <xf numFmtId="0" fontId="5" fillId="0" borderId="0" xfId="0" applyFont="1"/>
    <xf numFmtId="0" fontId="2" fillId="0" borderId="16" xfId="0" applyFont="1" applyBorder="1"/>
    <xf numFmtId="0" fontId="0" fillId="0" borderId="17" xfId="0" applyBorder="1"/>
    <xf numFmtId="0" fontId="0" fillId="0" borderId="18" xfId="0" applyBorder="1"/>
    <xf numFmtId="0" fontId="3" fillId="0" borderId="19" xfId="0" applyFont="1" applyBorder="1"/>
    <xf numFmtId="0" fontId="0" fillId="0" borderId="20" xfId="0" applyBorder="1"/>
    <xf numFmtId="0" fontId="26" fillId="5" borderId="23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166" fontId="11" fillId="6" borderId="28" xfId="0" applyNumberFormat="1" applyFont="1" applyFill="1" applyBorder="1" applyAlignment="1">
      <alignment vertical="center"/>
    </xf>
    <xf numFmtId="0" fontId="9" fillId="0" borderId="29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10" fontId="9" fillId="0" borderId="29" xfId="0" applyNumberFormat="1" applyFont="1" applyBorder="1" applyAlignment="1">
      <alignment horizontal="center" vertical="center"/>
    </xf>
    <xf numFmtId="10" fontId="9" fillId="0" borderId="17" xfId="0" applyNumberFormat="1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166" fontId="11" fillId="6" borderId="31" xfId="0" applyNumberFormat="1" applyFont="1" applyFill="1" applyBorder="1" applyAlignment="1">
      <alignment vertical="center"/>
    </xf>
    <xf numFmtId="0" fontId="12" fillId="0" borderId="32" xfId="0" applyFont="1" applyBorder="1" applyAlignment="1">
      <alignment horizontal="left" vertical="center"/>
    </xf>
    <xf numFmtId="166" fontId="2" fillId="2" borderId="33" xfId="0" applyNumberFormat="1" applyFont="1" applyFill="1" applyBorder="1" applyAlignment="1">
      <alignment vertical="center"/>
    </xf>
    <xf numFmtId="166" fontId="2" fillId="0" borderId="34" xfId="0" applyNumberFormat="1" applyFont="1" applyBorder="1" applyAlignment="1">
      <alignment vertical="center"/>
    </xf>
    <xf numFmtId="166" fontId="2" fillId="6" borderId="33" xfId="0" applyNumberFormat="1" applyFont="1" applyFill="1" applyBorder="1" applyAlignment="1">
      <alignment vertical="center"/>
    </xf>
    <xf numFmtId="166" fontId="2" fillId="6" borderId="35" xfId="0" applyNumberFormat="1" applyFont="1" applyFill="1" applyBorder="1" applyAlignment="1">
      <alignment vertical="center"/>
    </xf>
    <xf numFmtId="166" fontId="2" fillId="0" borderId="33" xfId="0" applyNumberFormat="1" applyFont="1" applyBorder="1" applyAlignment="1">
      <alignment vertical="center"/>
    </xf>
    <xf numFmtId="166" fontId="2" fillId="6" borderId="34" xfId="0" applyNumberFormat="1" applyFont="1" applyFill="1" applyBorder="1" applyAlignment="1">
      <alignment vertical="center"/>
    </xf>
    <xf numFmtId="166" fontId="29" fillId="6" borderId="24" xfId="0" applyNumberFormat="1" applyFont="1" applyFill="1" applyBorder="1" applyAlignment="1">
      <alignment vertical="center"/>
    </xf>
    <xf numFmtId="0" fontId="30" fillId="0" borderId="0" xfId="0" applyFont="1"/>
    <xf numFmtId="0" fontId="12" fillId="0" borderId="36" xfId="0" applyFont="1" applyBorder="1" applyAlignment="1">
      <alignment horizontal="left" vertical="center"/>
    </xf>
    <xf numFmtId="166" fontId="2" fillId="0" borderId="37" xfId="0" applyNumberFormat="1" applyFont="1" applyBorder="1" applyAlignment="1">
      <alignment vertical="center"/>
    </xf>
    <xf numFmtId="166" fontId="2" fillId="0" borderId="25" xfId="0" applyNumberFormat="1" applyFont="1" applyBorder="1" applyAlignment="1">
      <alignment vertical="center"/>
    </xf>
    <xf numFmtId="166" fontId="2" fillId="6" borderId="37" xfId="0" applyNumberFormat="1" applyFont="1" applyFill="1" applyBorder="1" applyAlignment="1">
      <alignment vertical="center"/>
    </xf>
    <xf numFmtId="166" fontId="2" fillId="6" borderId="26" xfId="0" applyNumberFormat="1" applyFont="1" applyFill="1" applyBorder="1" applyAlignment="1">
      <alignment vertical="center"/>
    </xf>
    <xf numFmtId="166" fontId="2" fillId="2" borderId="37" xfId="0" applyNumberFormat="1" applyFont="1" applyFill="1" applyBorder="1" applyAlignment="1">
      <alignment vertical="center"/>
    </xf>
    <xf numFmtId="166" fontId="2" fillId="7" borderId="37" xfId="0" applyNumberFormat="1" applyFont="1" applyFill="1" applyBorder="1" applyAlignment="1">
      <alignment vertical="center"/>
    </xf>
    <xf numFmtId="166" fontId="2" fillId="6" borderId="25" xfId="0" applyNumberFormat="1" applyFont="1" applyFill="1" applyBorder="1" applyAlignment="1">
      <alignment vertical="center"/>
    </xf>
    <xf numFmtId="166" fontId="11" fillId="6" borderId="24" xfId="0" applyNumberFormat="1" applyFont="1" applyFill="1" applyBorder="1" applyAlignment="1">
      <alignment vertical="center"/>
    </xf>
    <xf numFmtId="0" fontId="12" fillId="0" borderId="38" xfId="0" applyFont="1" applyBorder="1" applyAlignment="1">
      <alignment horizontal="left" vertical="center"/>
    </xf>
    <xf numFmtId="0" fontId="12" fillId="0" borderId="38" xfId="0" applyFont="1" applyBorder="1"/>
    <xf numFmtId="0" fontId="12" fillId="0" borderId="39" xfId="0" applyFont="1" applyBorder="1" applyAlignment="1">
      <alignment horizontal="left" vertical="center"/>
    </xf>
    <xf numFmtId="0" fontId="13" fillId="0" borderId="40" xfId="0" applyFont="1" applyBorder="1" applyAlignment="1">
      <alignment horizontal="left" vertical="center"/>
    </xf>
    <xf numFmtId="166" fontId="8" fillId="6" borderId="37" xfId="0" applyNumberFormat="1" applyFont="1" applyFill="1" applyBorder="1" applyAlignment="1">
      <alignment vertical="center"/>
    </xf>
    <xf numFmtId="166" fontId="8" fillId="6" borderId="25" xfId="0" applyNumberFormat="1" applyFont="1" applyFill="1" applyBorder="1" applyAlignment="1">
      <alignment vertical="center"/>
    </xf>
    <xf numFmtId="166" fontId="8" fillId="6" borderId="26" xfId="0" applyNumberFormat="1" applyFont="1" applyFill="1" applyBorder="1" applyAlignment="1">
      <alignment vertical="center"/>
    </xf>
    <xf numFmtId="166" fontId="8" fillId="6" borderId="41" xfId="0" applyNumberFormat="1" applyFont="1" applyFill="1" applyBorder="1" applyAlignment="1">
      <alignment vertical="center"/>
    </xf>
    <xf numFmtId="166" fontId="8" fillId="6" borderId="42" xfId="0" applyNumberFormat="1" applyFont="1" applyFill="1" applyBorder="1" applyAlignment="1">
      <alignment vertical="center"/>
    </xf>
    <xf numFmtId="0" fontId="16" fillId="5" borderId="33" xfId="0" applyFont="1" applyFill="1" applyBorder="1" applyAlignment="1">
      <alignment horizontal="center" vertical="center"/>
    </xf>
    <xf numFmtId="0" fontId="16" fillId="5" borderId="37" xfId="0" applyFont="1" applyFill="1" applyBorder="1" applyAlignment="1">
      <alignment horizontal="center" vertical="center"/>
    </xf>
    <xf numFmtId="0" fontId="16" fillId="5" borderId="25" xfId="0" applyFont="1" applyFill="1" applyBorder="1" applyAlignment="1">
      <alignment horizontal="center" vertical="center"/>
    </xf>
    <xf numFmtId="0" fontId="12" fillId="0" borderId="39" xfId="0" applyFont="1" applyBorder="1" applyAlignment="1">
      <alignment vertical="center"/>
    </xf>
    <xf numFmtId="166" fontId="14" fillId="0" borderId="0" xfId="0" applyNumberFormat="1" applyFont="1" applyAlignment="1">
      <alignment vertical="center"/>
    </xf>
    <xf numFmtId="0" fontId="12" fillId="0" borderId="36" xfId="0" applyFont="1" applyBorder="1" applyAlignment="1">
      <alignment vertical="center"/>
    </xf>
    <xf numFmtId="166" fontId="2" fillId="6" borderId="43" xfId="0" applyNumberFormat="1" applyFont="1" applyFill="1" applyBorder="1" applyAlignment="1">
      <alignment vertical="center"/>
    </xf>
    <xf numFmtId="166" fontId="0" fillId="6" borderId="31" xfId="0" applyNumberFormat="1" applyFill="1" applyBorder="1"/>
    <xf numFmtId="166" fontId="11" fillId="0" borderId="24" xfId="0" applyNumberFormat="1" applyFont="1" applyBorder="1" applyAlignment="1">
      <alignment vertical="center"/>
    </xf>
    <xf numFmtId="166" fontId="11" fillId="0" borderId="31" xfId="0" applyNumberFormat="1" applyFont="1" applyBorder="1" applyAlignment="1">
      <alignment vertical="center"/>
    </xf>
    <xf numFmtId="0" fontId="10" fillId="0" borderId="43" xfId="0" applyFont="1" applyBorder="1" applyAlignment="1">
      <alignment vertical="center"/>
    </xf>
    <xf numFmtId="0" fontId="31" fillId="0" borderId="18" xfId="0" applyFont="1" applyBorder="1" applyAlignment="1">
      <alignment vertical="center"/>
    </xf>
    <xf numFmtId="0" fontId="32" fillId="0" borderId="18" xfId="0" applyFont="1" applyBorder="1" applyAlignment="1">
      <alignment vertical="center"/>
    </xf>
    <xf numFmtId="166" fontId="29" fillId="0" borderId="29" xfId="0" applyNumberFormat="1" applyFont="1" applyBorder="1" applyAlignment="1">
      <alignment vertical="center"/>
    </xf>
    <xf numFmtId="0" fontId="15" fillId="0" borderId="36" xfId="0" applyFont="1" applyBorder="1" applyAlignment="1">
      <alignment horizontal="right" vertical="center"/>
    </xf>
    <xf numFmtId="164" fontId="33" fillId="6" borderId="26" xfId="0" applyNumberFormat="1" applyFont="1" applyFill="1" applyBorder="1" applyAlignment="1">
      <alignment vertical="center"/>
    </xf>
    <xf numFmtId="166" fontId="17" fillId="6" borderId="30" xfId="0" applyNumberFormat="1" applyFont="1" applyFill="1" applyBorder="1" applyAlignment="1">
      <alignment vertical="center"/>
    </xf>
    <xf numFmtId="0" fontId="15" fillId="0" borderId="40" xfId="0" applyFont="1" applyBorder="1" applyAlignment="1">
      <alignment horizontal="right" vertical="center"/>
    </xf>
    <xf numFmtId="166" fontId="16" fillId="6" borderId="41" xfId="0" applyNumberFormat="1" applyFont="1" applyFill="1" applyBorder="1" applyAlignment="1">
      <alignment vertical="center"/>
    </xf>
    <xf numFmtId="166" fontId="16" fillId="0" borderId="0" xfId="0" applyNumberFormat="1" applyFont="1" applyAlignment="1">
      <alignment vertical="center"/>
    </xf>
    <xf numFmtId="166" fontId="8" fillId="6" borderId="45" xfId="0" applyNumberFormat="1" applyFont="1" applyFill="1" applyBorder="1" applyAlignment="1">
      <alignment vertical="center"/>
    </xf>
    <xf numFmtId="166" fontId="34" fillId="6" borderId="26" xfId="0" applyNumberFormat="1" applyFont="1" applyFill="1" applyBorder="1" applyAlignment="1">
      <alignment vertical="center"/>
    </xf>
    <xf numFmtId="0" fontId="32" fillId="0" borderId="29" xfId="0" applyFont="1" applyBorder="1" applyAlignment="1">
      <alignment vertical="center"/>
    </xf>
    <xf numFmtId="0" fontId="17" fillId="0" borderId="18" xfId="0" applyFont="1" applyBorder="1" applyAlignment="1">
      <alignment vertical="center"/>
    </xf>
    <xf numFmtId="166" fontId="18" fillId="6" borderId="31" xfId="0" applyNumberFormat="1" applyFont="1" applyFill="1" applyBorder="1" applyAlignment="1">
      <alignment vertical="center"/>
    </xf>
    <xf numFmtId="0" fontId="8" fillId="0" borderId="46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19" fillId="0" borderId="9" xfId="0" applyFont="1" applyBorder="1" applyAlignment="1">
      <alignment horizontal="left" vertical="center"/>
    </xf>
    <xf numFmtId="0" fontId="19" fillId="0" borderId="10" xfId="0" applyFont="1" applyBorder="1" applyAlignment="1">
      <alignment vertical="center"/>
    </xf>
    <xf numFmtId="0" fontId="19" fillId="0" borderId="48" xfId="0" applyFont="1" applyBorder="1" applyAlignment="1">
      <alignment vertical="center"/>
    </xf>
    <xf numFmtId="0" fontId="14" fillId="0" borderId="36" xfId="0" applyFont="1" applyBorder="1" applyAlignment="1">
      <alignment vertical="center"/>
    </xf>
    <xf numFmtId="0" fontId="36" fillId="0" borderId="33" xfId="0" applyFont="1" applyBorder="1" applyAlignment="1">
      <alignment vertical="center"/>
    </xf>
    <xf numFmtId="0" fontId="37" fillId="2" borderId="33" xfId="0" applyFont="1" applyFill="1" applyBorder="1" applyAlignment="1">
      <alignment vertical="center"/>
    </xf>
    <xf numFmtId="0" fontId="11" fillId="6" borderId="33" xfId="0" applyFont="1" applyFill="1" applyBorder="1" applyAlignment="1">
      <alignment vertical="center"/>
    </xf>
    <xf numFmtId="0" fontId="37" fillId="0" borderId="33" xfId="0" applyFont="1" applyBorder="1" applyAlignment="1">
      <alignment vertical="center"/>
    </xf>
    <xf numFmtId="0" fontId="11" fillId="0" borderId="33" xfId="0" applyFont="1" applyBorder="1" applyAlignment="1">
      <alignment vertical="center"/>
    </xf>
    <xf numFmtId="0" fontId="11" fillId="0" borderId="34" xfId="0" applyFont="1" applyBorder="1" applyAlignment="1">
      <alignment vertical="center"/>
    </xf>
    <xf numFmtId="0" fontId="19" fillId="0" borderId="14" xfId="0" applyFont="1" applyBorder="1" applyAlignment="1">
      <alignment vertical="center"/>
    </xf>
    <xf numFmtId="0" fontId="19" fillId="0" borderId="16" xfId="0" applyFont="1" applyBorder="1" applyAlignment="1">
      <alignment vertical="center"/>
    </xf>
    <xf numFmtId="0" fontId="11" fillId="0" borderId="37" xfId="0" applyFont="1" applyBorder="1" applyAlignment="1">
      <alignment vertical="center"/>
    </xf>
    <xf numFmtId="0" fontId="11" fillId="0" borderId="25" xfId="0" applyFont="1" applyBorder="1" applyAlignment="1">
      <alignment vertical="center"/>
    </xf>
    <xf numFmtId="0" fontId="4" fillId="0" borderId="36" xfId="0" applyFont="1" applyBorder="1" applyAlignment="1">
      <alignment vertical="center"/>
    </xf>
    <xf numFmtId="0" fontId="4" fillId="0" borderId="49" xfId="0" applyFont="1" applyBorder="1" applyAlignment="1">
      <alignment vertical="center"/>
    </xf>
    <xf numFmtId="0" fontId="4" fillId="0" borderId="50" xfId="0" applyFont="1" applyBorder="1" applyAlignment="1">
      <alignment vertical="center"/>
    </xf>
    <xf numFmtId="0" fontId="37" fillId="0" borderId="37" xfId="0" applyFont="1" applyBorder="1" applyAlignment="1">
      <alignment vertical="center"/>
    </xf>
    <xf numFmtId="0" fontId="38" fillId="0" borderId="36" xfId="0" applyFont="1" applyBorder="1" applyAlignment="1">
      <alignment horizontal="left" vertical="center" wrapText="1"/>
    </xf>
    <xf numFmtId="0" fontId="38" fillId="0" borderId="43" xfId="0" applyFont="1" applyBorder="1" applyAlignment="1">
      <alignment horizontal="left" vertical="center" wrapText="1"/>
    </xf>
    <xf numFmtId="0" fontId="38" fillId="0" borderId="27" xfId="0" applyFont="1" applyBorder="1" applyAlignment="1">
      <alignment horizontal="left" vertical="center" wrapText="1"/>
    </xf>
    <xf numFmtId="0" fontId="15" fillId="0" borderId="51" xfId="0" applyFont="1" applyBorder="1" applyAlignment="1">
      <alignment horizontal="right" vertical="center"/>
    </xf>
    <xf numFmtId="0" fontId="16" fillId="6" borderId="41" xfId="0" applyFont="1" applyFill="1" applyBorder="1" applyAlignment="1">
      <alignment vertical="center"/>
    </xf>
    <xf numFmtId="0" fontId="16" fillId="6" borderId="42" xfId="0" applyFont="1" applyFill="1" applyBorder="1" applyAlignment="1">
      <alignment vertical="center"/>
    </xf>
    <xf numFmtId="0" fontId="38" fillId="0" borderId="36" xfId="0" applyFont="1" applyBorder="1" applyAlignment="1">
      <alignment horizontal="left" vertical="center"/>
    </xf>
    <xf numFmtId="0" fontId="38" fillId="0" borderId="43" xfId="0" applyFont="1" applyBorder="1" applyAlignment="1">
      <alignment horizontal="left" vertical="center"/>
    </xf>
    <xf numFmtId="0" fontId="38" fillId="0" borderId="27" xfId="0" applyFont="1" applyBorder="1" applyAlignment="1">
      <alignment horizontal="left" vertical="center"/>
    </xf>
    <xf numFmtId="0" fontId="4" fillId="0" borderId="14" xfId="0" applyFont="1" applyBorder="1"/>
    <xf numFmtId="0" fontId="4" fillId="0" borderId="43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19" fillId="0" borderId="46" xfId="0" applyFont="1" applyBorder="1" applyAlignment="1">
      <alignment vertical="center"/>
    </xf>
    <xf numFmtId="0" fontId="8" fillId="0" borderId="15" xfId="0" applyFont="1" applyBorder="1" applyAlignment="1">
      <alignment horizontal="center" vertical="center"/>
    </xf>
    <xf numFmtId="0" fontId="2" fillId="0" borderId="52" xfId="0" applyFont="1" applyBorder="1" applyAlignment="1">
      <alignment vertical="center"/>
    </xf>
    <xf numFmtId="0" fontId="19" fillId="0" borderId="18" xfId="0" applyFont="1" applyBorder="1" applyAlignment="1">
      <alignment vertical="center"/>
    </xf>
    <xf numFmtId="0" fontId="19" fillId="0" borderId="20" xfId="0" applyFont="1" applyBorder="1" applyAlignment="1">
      <alignment vertical="center"/>
    </xf>
    <xf numFmtId="0" fontId="2" fillId="0" borderId="38" xfId="0" applyFont="1" applyBorder="1" applyAlignment="1">
      <alignment vertical="center"/>
    </xf>
    <xf numFmtId="0" fontId="8" fillId="0" borderId="51" xfId="0" applyFont="1" applyBorder="1" applyAlignment="1">
      <alignment horizontal="right" vertical="center"/>
    </xf>
    <xf numFmtId="0" fontId="14" fillId="0" borderId="33" xfId="0" applyFont="1" applyBorder="1" applyAlignment="1">
      <alignment vertical="center"/>
    </xf>
    <xf numFmtId="0" fontId="2" fillId="0" borderId="33" xfId="0" applyFont="1" applyBorder="1" applyAlignment="1">
      <alignment vertical="center"/>
    </xf>
    <xf numFmtId="0" fontId="14" fillId="0" borderId="53" xfId="0" applyFont="1" applyBorder="1" applyAlignment="1">
      <alignment vertical="center"/>
    </xf>
    <xf numFmtId="0" fontId="2" fillId="0" borderId="32" xfId="0" applyFont="1" applyBorder="1" applyAlignment="1">
      <alignment vertical="center"/>
    </xf>
    <xf numFmtId="0" fontId="14" fillId="0" borderId="21" xfId="0" applyFont="1" applyBorder="1" applyAlignment="1">
      <alignment vertical="center"/>
    </xf>
    <xf numFmtId="0" fontId="14" fillId="0" borderId="22" xfId="0" applyFont="1" applyBorder="1" applyAlignment="1">
      <alignment vertical="center"/>
    </xf>
    <xf numFmtId="0" fontId="14" fillId="0" borderId="37" xfId="0" applyFont="1" applyBorder="1" applyAlignment="1">
      <alignment vertical="center"/>
    </xf>
    <xf numFmtId="0" fontId="2" fillId="0" borderId="37" xfId="0" applyFont="1" applyBorder="1" applyAlignment="1">
      <alignment vertical="center"/>
    </xf>
    <xf numFmtId="0" fontId="14" fillId="0" borderId="54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14" fillId="0" borderId="16" xfId="0" applyFont="1" applyBorder="1" applyAlignment="1">
      <alignment vertical="center"/>
    </xf>
    <xf numFmtId="0" fontId="2" fillId="0" borderId="36" xfId="0" applyFont="1" applyBorder="1" applyAlignment="1">
      <alignment vertical="center"/>
    </xf>
    <xf numFmtId="0" fontId="14" fillId="0" borderId="43" xfId="0" applyFont="1" applyBorder="1" applyAlignment="1">
      <alignment vertical="center"/>
    </xf>
    <xf numFmtId="0" fontId="14" fillId="0" borderId="27" xfId="0" applyFont="1" applyBorder="1" applyAlignment="1">
      <alignment vertical="center"/>
    </xf>
    <xf numFmtId="0" fontId="8" fillId="0" borderId="38" xfId="0" applyFont="1" applyBorder="1" applyAlignment="1">
      <alignment horizontal="right" vertical="center"/>
    </xf>
    <xf numFmtId="0" fontId="14" fillId="6" borderId="37" xfId="0" applyFont="1" applyFill="1" applyBorder="1" applyAlignment="1">
      <alignment vertical="center"/>
    </xf>
    <xf numFmtId="0" fontId="2" fillId="0" borderId="51" xfId="0" applyFont="1" applyBorder="1" applyAlignment="1">
      <alignment vertical="center"/>
    </xf>
    <xf numFmtId="0" fontId="11" fillId="0" borderId="41" xfId="0" applyFont="1" applyBorder="1" applyAlignment="1">
      <alignment vertical="center"/>
    </xf>
    <xf numFmtId="0" fontId="2" fillId="0" borderId="41" xfId="0" applyFont="1" applyBorder="1" applyAlignment="1">
      <alignment vertical="center"/>
    </xf>
    <xf numFmtId="0" fontId="40" fillId="0" borderId="55" xfId="0" applyFont="1" applyBorder="1" applyAlignment="1">
      <alignment vertical="center"/>
    </xf>
    <xf numFmtId="0" fontId="14" fillId="0" borderId="41" xfId="0" applyFont="1" applyBorder="1" applyAlignment="1">
      <alignment vertical="center"/>
    </xf>
    <xf numFmtId="0" fontId="2" fillId="0" borderId="56" xfId="0" applyFont="1" applyBorder="1" applyAlignment="1">
      <alignment vertical="center"/>
    </xf>
    <xf numFmtId="0" fontId="14" fillId="0" borderId="57" xfId="0" applyFont="1" applyBorder="1" applyAlignment="1">
      <alignment vertical="center"/>
    </xf>
    <xf numFmtId="0" fontId="14" fillId="0" borderId="58" xfId="0" applyFont="1" applyBorder="1" applyAlignment="1">
      <alignment vertical="center"/>
    </xf>
    <xf numFmtId="0" fontId="8" fillId="0" borderId="30" xfId="0" applyFont="1" applyBorder="1" applyAlignment="1">
      <alignment vertical="center"/>
    </xf>
    <xf numFmtId="0" fontId="4" fillId="6" borderId="30" xfId="0" applyFont="1" applyFill="1" applyBorder="1" applyAlignment="1">
      <alignment vertical="center"/>
    </xf>
    <xf numFmtId="0" fontId="16" fillId="0" borderId="30" xfId="0" applyFont="1" applyBorder="1" applyAlignment="1">
      <alignment horizontal="right" vertical="center"/>
    </xf>
    <xf numFmtId="0" fontId="11" fillId="6" borderId="13" xfId="0" applyFont="1" applyFill="1" applyBorder="1" applyAlignment="1">
      <alignment vertical="center"/>
    </xf>
    <xf numFmtId="0" fontId="16" fillId="0" borderId="11" xfId="0" applyFont="1" applyBorder="1" applyAlignment="1">
      <alignment vertical="center"/>
    </xf>
    <xf numFmtId="0" fontId="14" fillId="0" borderId="12" xfId="0" applyFont="1" applyBorder="1" applyAlignment="1">
      <alignment vertical="center"/>
    </xf>
    <xf numFmtId="0" fontId="11" fillId="0" borderId="12" xfId="0" applyFont="1" applyBorder="1" applyAlignment="1">
      <alignment vertical="center"/>
    </xf>
    <xf numFmtId="0" fontId="42" fillId="0" borderId="30" xfId="0" applyFont="1" applyBorder="1" applyAlignment="1">
      <alignment vertical="center"/>
    </xf>
    <xf numFmtId="0" fontId="4" fillId="6" borderId="11" xfId="0" applyFont="1" applyFill="1" applyBorder="1" applyAlignment="1">
      <alignment vertical="center"/>
    </xf>
    <xf numFmtId="0" fontId="43" fillId="0" borderId="17" xfId="0" applyFont="1" applyBorder="1"/>
    <xf numFmtId="0" fontId="43" fillId="0" borderId="18" xfId="0" applyFont="1" applyBorder="1"/>
    <xf numFmtId="0" fontId="32" fillId="0" borderId="20" xfId="0" applyFont="1" applyBorder="1"/>
    <xf numFmtId="0" fontId="11" fillId="0" borderId="49" xfId="0" applyFont="1" applyBorder="1"/>
    <xf numFmtId="0" fontId="14" fillId="0" borderId="59" xfId="0" applyFont="1" applyBorder="1" applyAlignment="1">
      <alignment vertical="center"/>
    </xf>
    <xf numFmtId="0" fontId="40" fillId="0" borderId="49" xfId="0" applyFont="1" applyBorder="1" applyAlignment="1">
      <alignment vertical="center"/>
    </xf>
    <xf numFmtId="0" fontId="42" fillId="0" borderId="11" xfId="0" applyFont="1" applyBorder="1" applyAlignment="1">
      <alignment vertical="center"/>
    </xf>
    <xf numFmtId="166" fontId="2" fillId="8" borderId="37" xfId="0" applyNumberFormat="1" applyFont="1" applyFill="1" applyBorder="1" applyAlignment="1">
      <alignment vertical="center"/>
    </xf>
    <xf numFmtId="166" fontId="2" fillId="0" borderId="26" xfId="0" applyNumberFormat="1" applyFont="1" applyBorder="1" applyAlignment="1">
      <alignment vertical="center"/>
    </xf>
    <xf numFmtId="0" fontId="16" fillId="5" borderId="41" xfId="0" applyFont="1" applyFill="1" applyBorder="1" applyAlignment="1">
      <alignment horizontal="center" vertical="center"/>
    </xf>
    <xf numFmtId="166" fontId="14" fillId="0" borderId="5" xfId="0" applyNumberFormat="1" applyFont="1" applyBorder="1" applyAlignment="1">
      <alignment vertical="center"/>
    </xf>
    <xf numFmtId="0" fontId="9" fillId="9" borderId="9" xfId="0" applyFont="1" applyFill="1" applyBorder="1" applyAlignment="1">
      <alignment horizontal="center" vertical="center"/>
    </xf>
    <xf numFmtId="10" fontId="9" fillId="9" borderId="17" xfId="0" applyNumberFormat="1" applyFont="1" applyFill="1" applyBorder="1" applyAlignment="1">
      <alignment horizontal="center" vertical="center"/>
    </xf>
    <xf numFmtId="166" fontId="2" fillId="10" borderId="33" xfId="0" applyNumberFormat="1" applyFont="1" applyFill="1" applyBorder="1" applyAlignment="1">
      <alignment vertical="center"/>
    </xf>
    <xf numFmtId="0" fontId="10" fillId="0" borderId="25" xfId="0" applyFont="1" applyBorder="1" applyAlignment="1">
      <alignment horizontal="left" vertical="center"/>
    </xf>
    <xf numFmtId="0" fontId="11" fillId="0" borderId="27" xfId="0" applyFont="1" applyBorder="1"/>
    <xf numFmtId="0" fontId="26" fillId="5" borderId="11" xfId="0" applyFont="1" applyFill="1" applyBorder="1" applyAlignment="1">
      <alignment horizontal="center"/>
    </xf>
    <xf numFmtId="0" fontId="11" fillId="0" borderId="12" xfId="0" applyFont="1" applyBorder="1"/>
    <xf numFmtId="0" fontId="11" fillId="0" borderId="13" xfId="0" applyFont="1" applyBorder="1"/>
    <xf numFmtId="0" fontId="26" fillId="5" borderId="9" xfId="0" applyFont="1" applyFill="1" applyBorder="1" applyAlignment="1">
      <alignment horizontal="center" vertical="center"/>
    </xf>
    <xf numFmtId="0" fontId="11" fillId="0" borderId="10" xfId="0" applyFont="1" applyBorder="1"/>
    <xf numFmtId="0" fontId="28" fillId="5" borderId="21" xfId="0" applyFont="1" applyFill="1" applyBorder="1" applyAlignment="1">
      <alignment horizontal="center" vertical="center"/>
    </xf>
    <xf numFmtId="0" fontId="11" fillId="0" borderId="22" xfId="0" applyFont="1" applyBorder="1"/>
    <xf numFmtId="0" fontId="8" fillId="0" borderId="24" xfId="0" applyFont="1" applyBorder="1" applyAlignment="1">
      <alignment horizontal="center" vertical="center"/>
    </xf>
    <xf numFmtId="0" fontId="11" fillId="0" borderId="29" xfId="0" applyFont="1" applyBorder="1"/>
    <xf numFmtId="0" fontId="9" fillId="0" borderId="25" xfId="0" applyFont="1" applyBorder="1" applyAlignment="1">
      <alignment horizontal="center" vertical="center"/>
    </xf>
    <xf numFmtId="0" fontId="11" fillId="0" borderId="26" xfId="0" applyFont="1" applyBorder="1"/>
    <xf numFmtId="0" fontId="4" fillId="5" borderId="25" xfId="0" applyFont="1" applyFill="1" applyBorder="1" applyAlignment="1">
      <alignment horizontal="center" vertical="center"/>
    </xf>
    <xf numFmtId="0" fontId="11" fillId="0" borderId="43" xfId="0" applyFont="1" applyBorder="1"/>
    <xf numFmtId="0" fontId="20" fillId="0" borderId="10" xfId="0" applyFont="1" applyBorder="1" applyAlignment="1">
      <alignment horizontal="center" vertical="center"/>
    </xf>
    <xf numFmtId="0" fontId="11" fillId="0" borderId="48" xfId="0" applyFont="1" applyBorder="1"/>
    <xf numFmtId="0" fontId="10" fillId="9" borderId="25" xfId="0" applyFont="1" applyFill="1" applyBorder="1" applyAlignment="1">
      <alignment horizontal="left"/>
    </xf>
    <xf numFmtId="0" fontId="10" fillId="9" borderId="27" xfId="0" applyFont="1" applyFill="1" applyBorder="1" applyAlignment="1">
      <alignment horizontal="left"/>
    </xf>
    <xf numFmtId="0" fontId="20" fillId="0" borderId="43" xfId="0" applyFont="1" applyBorder="1" applyAlignment="1">
      <alignment horizontal="center" vertical="center"/>
    </xf>
    <xf numFmtId="0" fontId="41" fillId="0" borderId="49" xfId="0" applyFont="1" applyBorder="1" applyAlignment="1">
      <alignment horizontal="center"/>
    </xf>
    <xf numFmtId="0" fontId="11" fillId="0" borderId="49" xfId="0" applyFont="1" applyBorder="1"/>
    <xf numFmtId="0" fontId="11" fillId="0" borderId="50" xfId="0" applyFont="1" applyBorder="1"/>
    <xf numFmtId="0" fontId="16" fillId="0" borderId="44" xfId="0" applyFont="1" applyBorder="1" applyAlignment="1">
      <alignment horizontal="center" vertical="center"/>
    </xf>
    <xf numFmtId="0" fontId="35" fillId="5" borderId="43" xfId="0" applyFont="1" applyFill="1" applyBorder="1" applyAlignment="1">
      <alignment horizontal="center" vertical="center"/>
    </xf>
    <xf numFmtId="0" fontId="11" fillId="0" borderId="59" xfId="0" applyFont="1" applyBorder="1"/>
    <xf numFmtId="0" fontId="35" fillId="5" borderId="15" xfId="0" applyFont="1" applyFill="1" applyBorder="1" applyAlignment="1">
      <alignment horizontal="center" vertical="center"/>
    </xf>
    <xf numFmtId="0" fontId="11" fillId="0" borderId="0" xfId="0" applyFont="1"/>
    <xf numFmtId="0" fontId="35" fillId="5" borderId="49" xfId="0" applyFont="1" applyFill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25" fillId="0" borderId="17" xfId="0" applyFont="1" applyBorder="1" applyAlignment="1">
      <alignment horizontal="center" vertical="center"/>
    </xf>
    <xf numFmtId="0" fontId="11" fillId="0" borderId="18" xfId="0" applyFont="1" applyBorder="1"/>
    <xf numFmtId="0" fontId="11" fillId="0" borderId="20" xfId="0" applyFont="1" applyBorder="1"/>
    <xf numFmtId="0" fontId="38" fillId="0" borderId="36" xfId="0" applyFont="1" applyBorder="1" applyAlignment="1">
      <alignment horizontal="left" wrapText="1"/>
    </xf>
    <xf numFmtId="0" fontId="38" fillId="0" borderId="43" xfId="0" applyFont="1" applyBorder="1" applyAlignment="1">
      <alignment horizontal="left" wrapText="1"/>
    </xf>
    <xf numFmtId="0" fontId="38" fillId="0" borderId="27" xfId="0" applyFont="1" applyBorder="1" applyAlignment="1">
      <alignment horizontal="left" wrapText="1"/>
    </xf>
    <xf numFmtId="0" fontId="41" fillId="0" borderId="17" xfId="0" applyFont="1" applyBorder="1" applyAlignment="1">
      <alignment horizontal="center" vertical="center"/>
    </xf>
    <xf numFmtId="0" fontId="39" fillId="0" borderId="18" xfId="0" applyFont="1" applyBorder="1" applyAlignment="1">
      <alignment horizontal="center" vertical="center"/>
    </xf>
    <xf numFmtId="0" fontId="39" fillId="0" borderId="20" xfId="0" applyFont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 applyProtection="1">
      <alignment horizontal="center"/>
      <protection locked="0"/>
    </xf>
    <xf numFmtId="0" fontId="21" fillId="3" borderId="7" xfId="0" applyFont="1" applyFill="1" applyBorder="1" applyAlignment="1">
      <alignment horizontal="center"/>
    </xf>
    <xf numFmtId="0" fontId="21" fillId="3" borderId="2" xfId="0" applyFont="1" applyFill="1" applyBorder="1" applyAlignment="1">
      <alignment horizontal="center"/>
    </xf>
    <xf numFmtId="0" fontId="2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121009</xdr:colOff>
      <xdr:row>25</xdr:row>
      <xdr:rowOff>38097</xdr:rowOff>
    </xdr:from>
    <xdr:to>
      <xdr:col>14</xdr:col>
      <xdr:colOff>603250</xdr:colOff>
      <xdr:row>26</xdr:row>
      <xdr:rowOff>109537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9472B2DC-B262-4B17-8429-D8CA52C8ACE3}"/>
            </a:ext>
          </a:extLst>
        </xdr:cNvPr>
        <xdr:cNvSpPr txBox="1">
          <a:spLocks noChangeArrowheads="1"/>
        </xdr:cNvSpPr>
      </xdr:nvSpPr>
      <xdr:spPr bwMode="auto">
        <a:xfrm>
          <a:off x="8893534" y="4876797"/>
          <a:ext cx="2111016" cy="23336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0" anchor="t" upright="1"/>
        <a:lstStyle/>
        <a:p>
          <a:pPr algn="ctr" rtl="1">
            <a:defRPr sz="1000"/>
          </a:pPr>
          <a:r>
            <a:rPr lang="pt-BR" sz="1000" b="0" i="0" u="none" strike="noStrike">
              <a:solidFill>
                <a:srgbClr val="000000"/>
              </a:solidFill>
              <a:latin typeface="Calibri"/>
            </a:rPr>
            <a:t>ATIVIDADES ESPECIAIS</a:t>
          </a:r>
        </a:p>
      </xdr:txBody>
    </xdr:sp>
    <xdr:clientData/>
  </xdr:twoCellAnchor>
  <xdr:twoCellAnchor>
    <xdr:from>
      <xdr:col>0</xdr:col>
      <xdr:colOff>50767</xdr:colOff>
      <xdr:row>1</xdr:row>
      <xdr:rowOff>0</xdr:rowOff>
    </xdr:from>
    <xdr:to>
      <xdr:col>5</xdr:col>
      <xdr:colOff>578305</xdr:colOff>
      <xdr:row>3</xdr:row>
      <xdr:rowOff>152401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684A2854-CFBB-4604-90C6-77B34E42C3EE}"/>
            </a:ext>
          </a:extLst>
        </xdr:cNvPr>
        <xdr:cNvSpPr txBox="1"/>
      </xdr:nvSpPr>
      <xdr:spPr>
        <a:xfrm>
          <a:off x="50767" y="76200"/>
          <a:ext cx="4766163" cy="609601"/>
        </a:xfrm>
        <a:prstGeom prst="rect">
          <a:avLst/>
        </a:prstGeom>
        <a:ln w="12700">
          <a:noFill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pt-BR"/>
        </a:p>
      </xdr:txBody>
    </xdr:sp>
    <xdr:clientData/>
  </xdr:twoCellAnchor>
  <xdr:twoCellAnchor>
    <xdr:from>
      <xdr:col>0</xdr:col>
      <xdr:colOff>38100</xdr:colOff>
      <xdr:row>1</xdr:row>
      <xdr:rowOff>142875</xdr:rowOff>
    </xdr:from>
    <xdr:to>
      <xdr:col>5</xdr:col>
      <xdr:colOff>523875</xdr:colOff>
      <xdr:row>3</xdr:row>
      <xdr:rowOff>209550</xdr:rowOff>
    </xdr:to>
    <xdr:pic>
      <xdr:nvPicPr>
        <xdr:cNvPr id="4" name="Imagem 6" descr="nova logo 2">
          <a:extLst>
            <a:ext uri="{FF2B5EF4-FFF2-40B4-BE49-F238E27FC236}">
              <a16:creationId xmlns:a16="http://schemas.microsoft.com/office/drawing/2014/main" id="{43122597-0619-4BEB-967B-BF8EB57C7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19075"/>
          <a:ext cx="47244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121009</xdr:colOff>
      <xdr:row>25</xdr:row>
      <xdr:rowOff>38097</xdr:rowOff>
    </xdr:from>
    <xdr:to>
      <xdr:col>14</xdr:col>
      <xdr:colOff>603250</xdr:colOff>
      <xdr:row>26</xdr:row>
      <xdr:rowOff>109537</xdr:rowOff>
    </xdr:to>
    <xdr:sp macro="" textlink="">
      <xdr:nvSpPr>
        <xdr:cNvPr id="6" name="Text Box 3">
          <a:extLst>
            <a:ext uri="{FF2B5EF4-FFF2-40B4-BE49-F238E27FC236}">
              <a16:creationId xmlns:a16="http://schemas.microsoft.com/office/drawing/2014/main" id="{35086202-CB97-45E2-A76E-4F8D92FC62E8}"/>
            </a:ext>
          </a:extLst>
        </xdr:cNvPr>
        <xdr:cNvSpPr txBox="1">
          <a:spLocks noChangeArrowheads="1"/>
        </xdr:cNvSpPr>
      </xdr:nvSpPr>
      <xdr:spPr bwMode="auto">
        <a:xfrm>
          <a:off x="8893534" y="4876797"/>
          <a:ext cx="2111016" cy="23336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0" anchor="t" upright="1"/>
        <a:lstStyle/>
        <a:p>
          <a:pPr algn="ctr" rtl="1">
            <a:defRPr sz="1000"/>
          </a:pPr>
          <a:r>
            <a:rPr lang="pt-BR" sz="1000" b="0" i="0" u="none" strike="noStrike">
              <a:solidFill>
                <a:srgbClr val="000000"/>
              </a:solidFill>
              <a:latin typeface="Calibri"/>
            </a:rPr>
            <a:t>ATIVIDADES ESPECIAIS</a:t>
          </a:r>
        </a:p>
      </xdr:txBody>
    </xdr:sp>
    <xdr:clientData/>
  </xdr:twoCellAnchor>
  <xdr:twoCellAnchor>
    <xdr:from>
      <xdr:col>0</xdr:col>
      <xdr:colOff>50767</xdr:colOff>
      <xdr:row>1</xdr:row>
      <xdr:rowOff>0</xdr:rowOff>
    </xdr:from>
    <xdr:to>
      <xdr:col>5</xdr:col>
      <xdr:colOff>578305</xdr:colOff>
      <xdr:row>3</xdr:row>
      <xdr:rowOff>152401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0EC71089-ED34-40C9-8846-7EFAA71457E6}"/>
            </a:ext>
          </a:extLst>
        </xdr:cNvPr>
        <xdr:cNvSpPr txBox="1"/>
      </xdr:nvSpPr>
      <xdr:spPr>
        <a:xfrm>
          <a:off x="50767" y="76200"/>
          <a:ext cx="4766163" cy="609601"/>
        </a:xfrm>
        <a:prstGeom prst="rect">
          <a:avLst/>
        </a:prstGeom>
        <a:ln w="12700">
          <a:noFill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pt-BR"/>
        </a:p>
      </xdr:txBody>
    </xdr:sp>
    <xdr:clientData/>
  </xdr:twoCellAnchor>
  <xdr:twoCellAnchor>
    <xdr:from>
      <xdr:col>0</xdr:col>
      <xdr:colOff>38100</xdr:colOff>
      <xdr:row>1</xdr:row>
      <xdr:rowOff>142875</xdr:rowOff>
    </xdr:from>
    <xdr:to>
      <xdr:col>5</xdr:col>
      <xdr:colOff>523875</xdr:colOff>
      <xdr:row>3</xdr:row>
      <xdr:rowOff>209550</xdr:rowOff>
    </xdr:to>
    <xdr:pic>
      <xdr:nvPicPr>
        <xdr:cNvPr id="8" name="Imagem 6" descr="nova logo 2">
          <a:extLst>
            <a:ext uri="{FF2B5EF4-FFF2-40B4-BE49-F238E27FC236}">
              <a16:creationId xmlns:a16="http://schemas.microsoft.com/office/drawing/2014/main" id="{7E625F04-F358-4726-84F4-827EFE1894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19075"/>
          <a:ext cx="47244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121009</xdr:colOff>
      <xdr:row>25</xdr:row>
      <xdr:rowOff>38097</xdr:rowOff>
    </xdr:from>
    <xdr:to>
      <xdr:col>14</xdr:col>
      <xdr:colOff>603250</xdr:colOff>
      <xdr:row>26</xdr:row>
      <xdr:rowOff>109537</xdr:rowOff>
    </xdr:to>
    <xdr:sp macro="" textlink="">
      <xdr:nvSpPr>
        <xdr:cNvPr id="9" name="Text Box 3">
          <a:extLst>
            <a:ext uri="{FF2B5EF4-FFF2-40B4-BE49-F238E27FC236}">
              <a16:creationId xmlns:a16="http://schemas.microsoft.com/office/drawing/2014/main" id="{CC5F9D2E-28AD-4A94-A282-B7E65A6E9CB4}"/>
            </a:ext>
          </a:extLst>
        </xdr:cNvPr>
        <xdr:cNvSpPr txBox="1">
          <a:spLocks noChangeArrowheads="1"/>
        </xdr:cNvSpPr>
      </xdr:nvSpPr>
      <xdr:spPr bwMode="auto">
        <a:xfrm>
          <a:off x="8893534" y="4876797"/>
          <a:ext cx="2111016" cy="23336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0" anchor="t" upright="1"/>
        <a:lstStyle/>
        <a:p>
          <a:pPr algn="ctr" rtl="1">
            <a:defRPr sz="1000"/>
          </a:pPr>
          <a:r>
            <a:rPr lang="pt-BR" sz="1000" b="0" i="0" u="none" strike="noStrike">
              <a:solidFill>
                <a:srgbClr val="000000"/>
              </a:solidFill>
              <a:latin typeface="Calibri"/>
            </a:rPr>
            <a:t>ATIVIDADES ESPECIAIS</a:t>
          </a:r>
        </a:p>
      </xdr:txBody>
    </xdr:sp>
    <xdr:clientData/>
  </xdr:twoCellAnchor>
  <xdr:twoCellAnchor>
    <xdr:from>
      <xdr:col>0</xdr:col>
      <xdr:colOff>50767</xdr:colOff>
      <xdr:row>1</xdr:row>
      <xdr:rowOff>0</xdr:rowOff>
    </xdr:from>
    <xdr:to>
      <xdr:col>5</xdr:col>
      <xdr:colOff>578305</xdr:colOff>
      <xdr:row>3</xdr:row>
      <xdr:rowOff>152401</xdr:rowOff>
    </xdr:to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AC0D9F21-CD62-4033-9FE0-87B939E60B1C}"/>
            </a:ext>
          </a:extLst>
        </xdr:cNvPr>
        <xdr:cNvSpPr txBox="1"/>
      </xdr:nvSpPr>
      <xdr:spPr>
        <a:xfrm>
          <a:off x="50767" y="76200"/>
          <a:ext cx="4766163" cy="609601"/>
        </a:xfrm>
        <a:prstGeom prst="rect">
          <a:avLst/>
        </a:prstGeom>
        <a:ln w="12700">
          <a:noFill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pt-BR"/>
        </a:p>
      </xdr:txBody>
    </xdr:sp>
    <xdr:clientData/>
  </xdr:twoCellAnchor>
  <xdr:twoCellAnchor>
    <xdr:from>
      <xdr:col>0</xdr:col>
      <xdr:colOff>38100</xdr:colOff>
      <xdr:row>1</xdr:row>
      <xdr:rowOff>142875</xdr:rowOff>
    </xdr:from>
    <xdr:to>
      <xdr:col>5</xdr:col>
      <xdr:colOff>523875</xdr:colOff>
      <xdr:row>3</xdr:row>
      <xdr:rowOff>209550</xdr:rowOff>
    </xdr:to>
    <xdr:pic>
      <xdr:nvPicPr>
        <xdr:cNvPr id="11" name="Imagem 6" descr="nova logo 2">
          <a:extLst>
            <a:ext uri="{FF2B5EF4-FFF2-40B4-BE49-F238E27FC236}">
              <a16:creationId xmlns:a16="http://schemas.microsoft.com/office/drawing/2014/main" id="{583FD7E2-A310-4DB8-951C-88A963A70C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19075"/>
          <a:ext cx="47244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121009</xdr:colOff>
      <xdr:row>25</xdr:row>
      <xdr:rowOff>38097</xdr:rowOff>
    </xdr:from>
    <xdr:to>
      <xdr:col>14</xdr:col>
      <xdr:colOff>603250</xdr:colOff>
      <xdr:row>26</xdr:row>
      <xdr:rowOff>109537</xdr:rowOff>
    </xdr:to>
    <xdr:sp macro="" textlink="">
      <xdr:nvSpPr>
        <xdr:cNvPr id="13" name="Text Box 3">
          <a:extLst>
            <a:ext uri="{FF2B5EF4-FFF2-40B4-BE49-F238E27FC236}">
              <a16:creationId xmlns:a16="http://schemas.microsoft.com/office/drawing/2014/main" id="{4CD80A59-2E60-43E2-BEEC-1F8732B14A13}"/>
            </a:ext>
          </a:extLst>
        </xdr:cNvPr>
        <xdr:cNvSpPr txBox="1">
          <a:spLocks noChangeArrowheads="1"/>
        </xdr:cNvSpPr>
      </xdr:nvSpPr>
      <xdr:spPr bwMode="auto">
        <a:xfrm>
          <a:off x="8893534" y="4876797"/>
          <a:ext cx="2111016" cy="23336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0" anchor="t" upright="1"/>
        <a:lstStyle/>
        <a:p>
          <a:pPr algn="ctr" rtl="1">
            <a:defRPr sz="1000"/>
          </a:pPr>
          <a:r>
            <a:rPr lang="pt-BR" sz="1000" b="0" i="0" u="none" strike="noStrike">
              <a:solidFill>
                <a:srgbClr val="000000"/>
              </a:solidFill>
              <a:latin typeface="Calibri"/>
            </a:rPr>
            <a:t>ATIVIDADES ESPECIAIS</a:t>
          </a:r>
        </a:p>
      </xdr:txBody>
    </xdr:sp>
    <xdr:clientData/>
  </xdr:twoCellAnchor>
  <xdr:twoCellAnchor>
    <xdr:from>
      <xdr:col>0</xdr:col>
      <xdr:colOff>50767</xdr:colOff>
      <xdr:row>1</xdr:row>
      <xdr:rowOff>0</xdr:rowOff>
    </xdr:from>
    <xdr:to>
      <xdr:col>5</xdr:col>
      <xdr:colOff>578305</xdr:colOff>
      <xdr:row>3</xdr:row>
      <xdr:rowOff>152401</xdr:rowOff>
    </xdr:to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4750F87A-5316-460F-9AE2-B269CC49AE13}"/>
            </a:ext>
          </a:extLst>
        </xdr:cNvPr>
        <xdr:cNvSpPr txBox="1"/>
      </xdr:nvSpPr>
      <xdr:spPr>
        <a:xfrm>
          <a:off x="50767" y="76200"/>
          <a:ext cx="4766163" cy="609601"/>
        </a:xfrm>
        <a:prstGeom prst="rect">
          <a:avLst/>
        </a:prstGeom>
        <a:ln w="12700">
          <a:noFill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pt-BR"/>
        </a:p>
      </xdr:txBody>
    </xdr:sp>
    <xdr:clientData/>
  </xdr:twoCellAnchor>
  <xdr:twoCellAnchor>
    <xdr:from>
      <xdr:col>0</xdr:col>
      <xdr:colOff>38100</xdr:colOff>
      <xdr:row>1</xdr:row>
      <xdr:rowOff>142875</xdr:rowOff>
    </xdr:from>
    <xdr:to>
      <xdr:col>5</xdr:col>
      <xdr:colOff>523875</xdr:colOff>
      <xdr:row>3</xdr:row>
      <xdr:rowOff>209550</xdr:rowOff>
    </xdr:to>
    <xdr:pic>
      <xdr:nvPicPr>
        <xdr:cNvPr id="15" name="Imagem 6" descr="nova logo 2">
          <a:extLst>
            <a:ext uri="{FF2B5EF4-FFF2-40B4-BE49-F238E27FC236}">
              <a16:creationId xmlns:a16="http://schemas.microsoft.com/office/drawing/2014/main" id="{A4417137-F95F-446C-B0CB-16C7C89F91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19075"/>
          <a:ext cx="47244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121009</xdr:colOff>
      <xdr:row>25</xdr:row>
      <xdr:rowOff>38097</xdr:rowOff>
    </xdr:from>
    <xdr:to>
      <xdr:col>14</xdr:col>
      <xdr:colOff>603250</xdr:colOff>
      <xdr:row>26</xdr:row>
      <xdr:rowOff>109537</xdr:rowOff>
    </xdr:to>
    <xdr:sp macro="" textlink="">
      <xdr:nvSpPr>
        <xdr:cNvPr id="16" name="Text Box 3">
          <a:extLst>
            <a:ext uri="{FF2B5EF4-FFF2-40B4-BE49-F238E27FC236}">
              <a16:creationId xmlns:a16="http://schemas.microsoft.com/office/drawing/2014/main" id="{330556D3-D1F8-4716-AD38-E917F7C82DF3}"/>
            </a:ext>
          </a:extLst>
        </xdr:cNvPr>
        <xdr:cNvSpPr txBox="1">
          <a:spLocks noChangeArrowheads="1"/>
        </xdr:cNvSpPr>
      </xdr:nvSpPr>
      <xdr:spPr bwMode="auto">
        <a:xfrm>
          <a:off x="8893534" y="4876797"/>
          <a:ext cx="2111016" cy="23336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0" anchor="t" upright="1"/>
        <a:lstStyle/>
        <a:p>
          <a:pPr algn="ctr" rtl="1">
            <a:defRPr sz="1000"/>
          </a:pPr>
          <a:r>
            <a:rPr lang="pt-BR" sz="1000" b="0" i="0" u="none" strike="noStrike">
              <a:solidFill>
                <a:srgbClr val="000000"/>
              </a:solidFill>
              <a:latin typeface="Calibri"/>
            </a:rPr>
            <a:t>ATIVIDADES ESPECIAIS</a:t>
          </a:r>
        </a:p>
      </xdr:txBody>
    </xdr:sp>
    <xdr:clientData/>
  </xdr:twoCellAnchor>
  <xdr:twoCellAnchor>
    <xdr:from>
      <xdr:col>0</xdr:col>
      <xdr:colOff>50767</xdr:colOff>
      <xdr:row>1</xdr:row>
      <xdr:rowOff>0</xdr:rowOff>
    </xdr:from>
    <xdr:to>
      <xdr:col>5</xdr:col>
      <xdr:colOff>578305</xdr:colOff>
      <xdr:row>3</xdr:row>
      <xdr:rowOff>152401</xdr:rowOff>
    </xdr:to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98C055C0-1838-456F-9E12-2A59D8916A1D}"/>
            </a:ext>
          </a:extLst>
        </xdr:cNvPr>
        <xdr:cNvSpPr txBox="1"/>
      </xdr:nvSpPr>
      <xdr:spPr>
        <a:xfrm>
          <a:off x="50767" y="76200"/>
          <a:ext cx="4766163" cy="609601"/>
        </a:xfrm>
        <a:prstGeom prst="rect">
          <a:avLst/>
        </a:prstGeom>
        <a:ln w="12700">
          <a:noFill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pt-BR"/>
        </a:p>
      </xdr:txBody>
    </xdr:sp>
    <xdr:clientData/>
  </xdr:twoCellAnchor>
  <xdr:twoCellAnchor>
    <xdr:from>
      <xdr:col>0</xdr:col>
      <xdr:colOff>38100</xdr:colOff>
      <xdr:row>1</xdr:row>
      <xdr:rowOff>142875</xdr:rowOff>
    </xdr:from>
    <xdr:to>
      <xdr:col>5</xdr:col>
      <xdr:colOff>523875</xdr:colOff>
      <xdr:row>3</xdr:row>
      <xdr:rowOff>209550</xdr:rowOff>
    </xdr:to>
    <xdr:pic>
      <xdr:nvPicPr>
        <xdr:cNvPr id="18" name="Imagem 6" descr="nova logo 2">
          <a:extLst>
            <a:ext uri="{FF2B5EF4-FFF2-40B4-BE49-F238E27FC236}">
              <a16:creationId xmlns:a16="http://schemas.microsoft.com/office/drawing/2014/main" id="{990D69FA-E911-4E9A-B4F3-1F4C925B2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19075"/>
          <a:ext cx="47244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121009</xdr:colOff>
      <xdr:row>25</xdr:row>
      <xdr:rowOff>38097</xdr:rowOff>
    </xdr:from>
    <xdr:to>
      <xdr:col>14</xdr:col>
      <xdr:colOff>603250</xdr:colOff>
      <xdr:row>26</xdr:row>
      <xdr:rowOff>109537</xdr:rowOff>
    </xdr:to>
    <xdr:sp macro="" textlink="">
      <xdr:nvSpPr>
        <xdr:cNvPr id="20" name="Text Box 3">
          <a:extLst>
            <a:ext uri="{FF2B5EF4-FFF2-40B4-BE49-F238E27FC236}">
              <a16:creationId xmlns:a16="http://schemas.microsoft.com/office/drawing/2014/main" id="{CA6DE03E-A45F-4824-874C-0B028FC74E86}"/>
            </a:ext>
          </a:extLst>
        </xdr:cNvPr>
        <xdr:cNvSpPr txBox="1">
          <a:spLocks noChangeArrowheads="1"/>
        </xdr:cNvSpPr>
      </xdr:nvSpPr>
      <xdr:spPr bwMode="auto">
        <a:xfrm>
          <a:off x="8893534" y="4876797"/>
          <a:ext cx="2111016" cy="23336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0" anchor="t" upright="1"/>
        <a:lstStyle/>
        <a:p>
          <a:pPr algn="ctr" rtl="1">
            <a:defRPr sz="1000"/>
          </a:pPr>
          <a:r>
            <a:rPr lang="pt-BR" sz="1000" b="0" i="0" u="none" strike="noStrike">
              <a:solidFill>
                <a:srgbClr val="000000"/>
              </a:solidFill>
              <a:latin typeface="Calibri"/>
            </a:rPr>
            <a:t>ATIVIDADES ESPECIAIS</a:t>
          </a:r>
        </a:p>
      </xdr:txBody>
    </xdr:sp>
    <xdr:clientData/>
  </xdr:twoCellAnchor>
  <xdr:twoCellAnchor>
    <xdr:from>
      <xdr:col>0</xdr:col>
      <xdr:colOff>50767</xdr:colOff>
      <xdr:row>1</xdr:row>
      <xdr:rowOff>0</xdr:rowOff>
    </xdr:from>
    <xdr:to>
      <xdr:col>5</xdr:col>
      <xdr:colOff>578305</xdr:colOff>
      <xdr:row>3</xdr:row>
      <xdr:rowOff>152401</xdr:rowOff>
    </xdr:to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A1FCED28-5015-4FD8-9145-7E1A7FF040D3}"/>
            </a:ext>
          </a:extLst>
        </xdr:cNvPr>
        <xdr:cNvSpPr txBox="1"/>
      </xdr:nvSpPr>
      <xdr:spPr>
        <a:xfrm>
          <a:off x="50767" y="76200"/>
          <a:ext cx="4766163" cy="609601"/>
        </a:xfrm>
        <a:prstGeom prst="rect">
          <a:avLst/>
        </a:prstGeom>
        <a:ln w="12700">
          <a:noFill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pt-BR"/>
        </a:p>
      </xdr:txBody>
    </xdr:sp>
    <xdr:clientData/>
  </xdr:twoCellAnchor>
  <xdr:twoCellAnchor>
    <xdr:from>
      <xdr:col>0</xdr:col>
      <xdr:colOff>38100</xdr:colOff>
      <xdr:row>1</xdr:row>
      <xdr:rowOff>142875</xdr:rowOff>
    </xdr:from>
    <xdr:to>
      <xdr:col>5</xdr:col>
      <xdr:colOff>523875</xdr:colOff>
      <xdr:row>3</xdr:row>
      <xdr:rowOff>209550</xdr:rowOff>
    </xdr:to>
    <xdr:pic>
      <xdr:nvPicPr>
        <xdr:cNvPr id="22" name="Imagem 6" descr="nova logo 2">
          <a:extLst>
            <a:ext uri="{FF2B5EF4-FFF2-40B4-BE49-F238E27FC236}">
              <a16:creationId xmlns:a16="http://schemas.microsoft.com/office/drawing/2014/main" id="{63E0B4D9-962E-42D1-B301-6146E0C55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19075"/>
          <a:ext cx="47244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121009</xdr:colOff>
      <xdr:row>25</xdr:row>
      <xdr:rowOff>38097</xdr:rowOff>
    </xdr:from>
    <xdr:to>
      <xdr:col>14</xdr:col>
      <xdr:colOff>603250</xdr:colOff>
      <xdr:row>26</xdr:row>
      <xdr:rowOff>109537</xdr:rowOff>
    </xdr:to>
    <xdr:sp macro="" textlink="">
      <xdr:nvSpPr>
        <xdr:cNvPr id="23" name="Text Box 3">
          <a:extLst>
            <a:ext uri="{FF2B5EF4-FFF2-40B4-BE49-F238E27FC236}">
              <a16:creationId xmlns:a16="http://schemas.microsoft.com/office/drawing/2014/main" id="{876CD5A8-AC02-4DC9-82C7-CFADF6B0B8EB}"/>
            </a:ext>
          </a:extLst>
        </xdr:cNvPr>
        <xdr:cNvSpPr txBox="1">
          <a:spLocks noChangeArrowheads="1"/>
        </xdr:cNvSpPr>
      </xdr:nvSpPr>
      <xdr:spPr bwMode="auto">
        <a:xfrm>
          <a:off x="8893534" y="4876797"/>
          <a:ext cx="2111016" cy="23336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0" anchor="t" upright="1"/>
        <a:lstStyle/>
        <a:p>
          <a:pPr algn="ctr" rtl="1">
            <a:defRPr sz="1000"/>
          </a:pPr>
          <a:r>
            <a:rPr lang="pt-BR" sz="1000" b="0" i="0" u="none" strike="noStrike">
              <a:solidFill>
                <a:srgbClr val="000000"/>
              </a:solidFill>
              <a:latin typeface="Calibri"/>
            </a:rPr>
            <a:t>ATIVIDADES ESPECIAIS</a:t>
          </a:r>
        </a:p>
      </xdr:txBody>
    </xdr:sp>
    <xdr:clientData/>
  </xdr:twoCellAnchor>
  <xdr:twoCellAnchor>
    <xdr:from>
      <xdr:col>0</xdr:col>
      <xdr:colOff>50767</xdr:colOff>
      <xdr:row>1</xdr:row>
      <xdr:rowOff>0</xdr:rowOff>
    </xdr:from>
    <xdr:to>
      <xdr:col>5</xdr:col>
      <xdr:colOff>578305</xdr:colOff>
      <xdr:row>3</xdr:row>
      <xdr:rowOff>152401</xdr:rowOff>
    </xdr:to>
    <xdr:sp macro="" textlink="">
      <xdr:nvSpPr>
        <xdr:cNvPr id="24" name="CaixaDeTexto 23">
          <a:extLst>
            <a:ext uri="{FF2B5EF4-FFF2-40B4-BE49-F238E27FC236}">
              <a16:creationId xmlns:a16="http://schemas.microsoft.com/office/drawing/2014/main" id="{543DD8DF-E9C4-4B31-876D-C41ADB1DB872}"/>
            </a:ext>
          </a:extLst>
        </xdr:cNvPr>
        <xdr:cNvSpPr txBox="1"/>
      </xdr:nvSpPr>
      <xdr:spPr>
        <a:xfrm>
          <a:off x="50767" y="76200"/>
          <a:ext cx="4766163" cy="609601"/>
        </a:xfrm>
        <a:prstGeom prst="rect">
          <a:avLst/>
        </a:prstGeom>
        <a:ln w="12700">
          <a:noFill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pt-BR"/>
        </a:p>
      </xdr:txBody>
    </xdr:sp>
    <xdr:clientData/>
  </xdr:twoCellAnchor>
  <xdr:twoCellAnchor>
    <xdr:from>
      <xdr:col>0</xdr:col>
      <xdr:colOff>38100</xdr:colOff>
      <xdr:row>1</xdr:row>
      <xdr:rowOff>142875</xdr:rowOff>
    </xdr:from>
    <xdr:to>
      <xdr:col>5</xdr:col>
      <xdr:colOff>523875</xdr:colOff>
      <xdr:row>3</xdr:row>
      <xdr:rowOff>209550</xdr:rowOff>
    </xdr:to>
    <xdr:pic>
      <xdr:nvPicPr>
        <xdr:cNvPr id="25" name="Imagem 6" descr="nova logo 2">
          <a:extLst>
            <a:ext uri="{FF2B5EF4-FFF2-40B4-BE49-F238E27FC236}">
              <a16:creationId xmlns:a16="http://schemas.microsoft.com/office/drawing/2014/main" id="{26FAD274-511A-4D32-AF08-76A90EA7C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19075"/>
          <a:ext cx="47244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121009</xdr:colOff>
      <xdr:row>25</xdr:row>
      <xdr:rowOff>38097</xdr:rowOff>
    </xdr:from>
    <xdr:to>
      <xdr:col>14</xdr:col>
      <xdr:colOff>603250</xdr:colOff>
      <xdr:row>26</xdr:row>
      <xdr:rowOff>109537</xdr:rowOff>
    </xdr:to>
    <xdr:sp macro="" textlink="">
      <xdr:nvSpPr>
        <xdr:cNvPr id="27" name="Text Box 3">
          <a:extLst>
            <a:ext uri="{FF2B5EF4-FFF2-40B4-BE49-F238E27FC236}">
              <a16:creationId xmlns:a16="http://schemas.microsoft.com/office/drawing/2014/main" id="{7D426A5D-1FBD-4F31-89AA-A48588D06F62}"/>
            </a:ext>
          </a:extLst>
        </xdr:cNvPr>
        <xdr:cNvSpPr txBox="1">
          <a:spLocks noChangeArrowheads="1"/>
        </xdr:cNvSpPr>
      </xdr:nvSpPr>
      <xdr:spPr bwMode="auto">
        <a:xfrm>
          <a:off x="8893534" y="4876797"/>
          <a:ext cx="2111016" cy="23336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0" anchor="t" upright="1"/>
        <a:lstStyle/>
        <a:p>
          <a:pPr algn="ctr" rtl="1">
            <a:defRPr sz="1000"/>
          </a:pPr>
          <a:r>
            <a:rPr lang="pt-BR" sz="1000" b="0" i="0" u="none" strike="noStrike">
              <a:solidFill>
                <a:srgbClr val="000000"/>
              </a:solidFill>
              <a:latin typeface="Calibri"/>
            </a:rPr>
            <a:t>ATIVIDADES ESPECIAIS</a:t>
          </a:r>
        </a:p>
      </xdr:txBody>
    </xdr:sp>
    <xdr:clientData/>
  </xdr:twoCellAnchor>
  <xdr:twoCellAnchor>
    <xdr:from>
      <xdr:col>0</xdr:col>
      <xdr:colOff>50767</xdr:colOff>
      <xdr:row>1</xdr:row>
      <xdr:rowOff>0</xdr:rowOff>
    </xdr:from>
    <xdr:to>
      <xdr:col>5</xdr:col>
      <xdr:colOff>578305</xdr:colOff>
      <xdr:row>3</xdr:row>
      <xdr:rowOff>152401</xdr:rowOff>
    </xdr:to>
    <xdr:sp macro="" textlink="">
      <xdr:nvSpPr>
        <xdr:cNvPr id="28" name="CaixaDeTexto 27">
          <a:extLst>
            <a:ext uri="{FF2B5EF4-FFF2-40B4-BE49-F238E27FC236}">
              <a16:creationId xmlns:a16="http://schemas.microsoft.com/office/drawing/2014/main" id="{FC080524-E4FB-43F6-884F-912BE35278AF}"/>
            </a:ext>
          </a:extLst>
        </xdr:cNvPr>
        <xdr:cNvSpPr txBox="1"/>
      </xdr:nvSpPr>
      <xdr:spPr>
        <a:xfrm>
          <a:off x="50767" y="76200"/>
          <a:ext cx="4766163" cy="609601"/>
        </a:xfrm>
        <a:prstGeom prst="rect">
          <a:avLst/>
        </a:prstGeom>
        <a:ln w="12700">
          <a:noFill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pt-BR"/>
        </a:p>
      </xdr:txBody>
    </xdr:sp>
    <xdr:clientData/>
  </xdr:twoCellAnchor>
  <xdr:twoCellAnchor>
    <xdr:from>
      <xdr:col>0</xdr:col>
      <xdr:colOff>38100</xdr:colOff>
      <xdr:row>1</xdr:row>
      <xdr:rowOff>142875</xdr:rowOff>
    </xdr:from>
    <xdr:to>
      <xdr:col>5</xdr:col>
      <xdr:colOff>523875</xdr:colOff>
      <xdr:row>3</xdr:row>
      <xdr:rowOff>209550</xdr:rowOff>
    </xdr:to>
    <xdr:pic>
      <xdr:nvPicPr>
        <xdr:cNvPr id="29" name="Imagem 6" descr="nova logo 2">
          <a:extLst>
            <a:ext uri="{FF2B5EF4-FFF2-40B4-BE49-F238E27FC236}">
              <a16:creationId xmlns:a16="http://schemas.microsoft.com/office/drawing/2014/main" id="{A5F20F73-F7AA-4238-8B61-9A2EC2FDC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19075"/>
          <a:ext cx="47244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121009</xdr:colOff>
      <xdr:row>25</xdr:row>
      <xdr:rowOff>38097</xdr:rowOff>
    </xdr:from>
    <xdr:to>
      <xdr:col>14</xdr:col>
      <xdr:colOff>603250</xdr:colOff>
      <xdr:row>26</xdr:row>
      <xdr:rowOff>109537</xdr:rowOff>
    </xdr:to>
    <xdr:sp macro="" textlink="">
      <xdr:nvSpPr>
        <xdr:cNvPr id="30" name="Text Box 3">
          <a:extLst>
            <a:ext uri="{FF2B5EF4-FFF2-40B4-BE49-F238E27FC236}">
              <a16:creationId xmlns:a16="http://schemas.microsoft.com/office/drawing/2014/main" id="{3C1CCD20-5AF2-4695-9512-A4FDC65431F0}"/>
            </a:ext>
          </a:extLst>
        </xdr:cNvPr>
        <xdr:cNvSpPr txBox="1">
          <a:spLocks noChangeArrowheads="1"/>
        </xdr:cNvSpPr>
      </xdr:nvSpPr>
      <xdr:spPr bwMode="auto">
        <a:xfrm>
          <a:off x="8893534" y="4876797"/>
          <a:ext cx="2111016" cy="23336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0" anchor="t" upright="1"/>
        <a:lstStyle/>
        <a:p>
          <a:pPr algn="ctr" rtl="1">
            <a:defRPr sz="1000"/>
          </a:pPr>
          <a:r>
            <a:rPr lang="pt-BR" sz="1000" b="0" i="0" u="none" strike="noStrike">
              <a:solidFill>
                <a:srgbClr val="000000"/>
              </a:solidFill>
              <a:latin typeface="Calibri"/>
            </a:rPr>
            <a:t>ATIVIDADES ESPECIAIS</a:t>
          </a:r>
        </a:p>
      </xdr:txBody>
    </xdr:sp>
    <xdr:clientData/>
  </xdr:twoCellAnchor>
  <xdr:twoCellAnchor>
    <xdr:from>
      <xdr:col>0</xdr:col>
      <xdr:colOff>50767</xdr:colOff>
      <xdr:row>1</xdr:row>
      <xdr:rowOff>0</xdr:rowOff>
    </xdr:from>
    <xdr:to>
      <xdr:col>5</xdr:col>
      <xdr:colOff>578305</xdr:colOff>
      <xdr:row>3</xdr:row>
      <xdr:rowOff>152401</xdr:rowOff>
    </xdr:to>
    <xdr:sp macro="" textlink="">
      <xdr:nvSpPr>
        <xdr:cNvPr id="31" name="CaixaDeTexto 30">
          <a:extLst>
            <a:ext uri="{FF2B5EF4-FFF2-40B4-BE49-F238E27FC236}">
              <a16:creationId xmlns:a16="http://schemas.microsoft.com/office/drawing/2014/main" id="{F5E61809-A71A-4CCE-94B8-893C105E1F08}"/>
            </a:ext>
          </a:extLst>
        </xdr:cNvPr>
        <xdr:cNvSpPr txBox="1"/>
      </xdr:nvSpPr>
      <xdr:spPr>
        <a:xfrm>
          <a:off x="50767" y="76200"/>
          <a:ext cx="4766163" cy="609601"/>
        </a:xfrm>
        <a:prstGeom prst="rect">
          <a:avLst/>
        </a:prstGeom>
        <a:ln w="12700">
          <a:noFill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pt-BR"/>
        </a:p>
      </xdr:txBody>
    </xdr:sp>
    <xdr:clientData/>
  </xdr:twoCellAnchor>
  <xdr:twoCellAnchor>
    <xdr:from>
      <xdr:col>0</xdr:col>
      <xdr:colOff>38100</xdr:colOff>
      <xdr:row>1</xdr:row>
      <xdr:rowOff>142875</xdr:rowOff>
    </xdr:from>
    <xdr:to>
      <xdr:col>5</xdr:col>
      <xdr:colOff>523875</xdr:colOff>
      <xdr:row>3</xdr:row>
      <xdr:rowOff>209550</xdr:rowOff>
    </xdr:to>
    <xdr:pic>
      <xdr:nvPicPr>
        <xdr:cNvPr id="32" name="Imagem 6" descr="nova logo 2">
          <a:extLst>
            <a:ext uri="{FF2B5EF4-FFF2-40B4-BE49-F238E27FC236}">
              <a16:creationId xmlns:a16="http://schemas.microsoft.com/office/drawing/2014/main" id="{62FD31B6-FFBC-4D26-A9FB-D09603BC2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19075"/>
          <a:ext cx="47244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121009</xdr:colOff>
      <xdr:row>25</xdr:row>
      <xdr:rowOff>38097</xdr:rowOff>
    </xdr:from>
    <xdr:to>
      <xdr:col>14</xdr:col>
      <xdr:colOff>603250</xdr:colOff>
      <xdr:row>26</xdr:row>
      <xdr:rowOff>109537</xdr:rowOff>
    </xdr:to>
    <xdr:sp macro="" textlink="">
      <xdr:nvSpPr>
        <xdr:cNvPr id="34" name="Text Box 3">
          <a:extLst>
            <a:ext uri="{FF2B5EF4-FFF2-40B4-BE49-F238E27FC236}">
              <a16:creationId xmlns:a16="http://schemas.microsoft.com/office/drawing/2014/main" id="{16FF89E4-A6D9-4357-8E2D-BF96720EB5BF}"/>
            </a:ext>
          </a:extLst>
        </xdr:cNvPr>
        <xdr:cNvSpPr txBox="1">
          <a:spLocks noChangeArrowheads="1"/>
        </xdr:cNvSpPr>
      </xdr:nvSpPr>
      <xdr:spPr bwMode="auto">
        <a:xfrm>
          <a:off x="8893534" y="4876797"/>
          <a:ext cx="2111016" cy="23336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0" anchor="t" upright="1"/>
        <a:lstStyle/>
        <a:p>
          <a:pPr algn="ctr" rtl="1">
            <a:defRPr sz="1000"/>
          </a:pPr>
          <a:r>
            <a:rPr lang="pt-BR" sz="1000" b="0" i="0" u="none" strike="noStrike">
              <a:solidFill>
                <a:srgbClr val="000000"/>
              </a:solidFill>
              <a:latin typeface="Calibri"/>
            </a:rPr>
            <a:t>ATIVIDADES ESPECIAIS</a:t>
          </a:r>
        </a:p>
      </xdr:txBody>
    </xdr:sp>
    <xdr:clientData/>
  </xdr:twoCellAnchor>
  <xdr:twoCellAnchor>
    <xdr:from>
      <xdr:col>0</xdr:col>
      <xdr:colOff>50767</xdr:colOff>
      <xdr:row>1</xdr:row>
      <xdr:rowOff>0</xdr:rowOff>
    </xdr:from>
    <xdr:to>
      <xdr:col>5</xdr:col>
      <xdr:colOff>578305</xdr:colOff>
      <xdr:row>3</xdr:row>
      <xdr:rowOff>152401</xdr:rowOff>
    </xdr:to>
    <xdr:sp macro="" textlink="">
      <xdr:nvSpPr>
        <xdr:cNvPr id="35" name="CaixaDeTexto 34">
          <a:extLst>
            <a:ext uri="{FF2B5EF4-FFF2-40B4-BE49-F238E27FC236}">
              <a16:creationId xmlns:a16="http://schemas.microsoft.com/office/drawing/2014/main" id="{7AF738AF-DAD2-4FAB-B033-14DEFD1F09F3}"/>
            </a:ext>
          </a:extLst>
        </xdr:cNvPr>
        <xdr:cNvSpPr txBox="1"/>
      </xdr:nvSpPr>
      <xdr:spPr>
        <a:xfrm>
          <a:off x="50767" y="76200"/>
          <a:ext cx="4766163" cy="609601"/>
        </a:xfrm>
        <a:prstGeom prst="rect">
          <a:avLst/>
        </a:prstGeom>
        <a:ln w="12700">
          <a:noFill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pt-BR"/>
        </a:p>
      </xdr:txBody>
    </xdr:sp>
    <xdr:clientData/>
  </xdr:twoCellAnchor>
  <xdr:twoCellAnchor>
    <xdr:from>
      <xdr:col>0</xdr:col>
      <xdr:colOff>38100</xdr:colOff>
      <xdr:row>1</xdr:row>
      <xdr:rowOff>142875</xdr:rowOff>
    </xdr:from>
    <xdr:to>
      <xdr:col>5</xdr:col>
      <xdr:colOff>523875</xdr:colOff>
      <xdr:row>3</xdr:row>
      <xdr:rowOff>209550</xdr:rowOff>
    </xdr:to>
    <xdr:pic>
      <xdr:nvPicPr>
        <xdr:cNvPr id="36" name="Imagem 6" descr="nova logo 2">
          <a:extLst>
            <a:ext uri="{FF2B5EF4-FFF2-40B4-BE49-F238E27FC236}">
              <a16:creationId xmlns:a16="http://schemas.microsoft.com/office/drawing/2014/main" id="{29D3A6C8-BE08-45FE-A445-1B5FDE27D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19075"/>
          <a:ext cx="47244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121009</xdr:colOff>
      <xdr:row>25</xdr:row>
      <xdr:rowOff>38097</xdr:rowOff>
    </xdr:from>
    <xdr:to>
      <xdr:col>14</xdr:col>
      <xdr:colOff>603250</xdr:colOff>
      <xdr:row>26</xdr:row>
      <xdr:rowOff>109537</xdr:rowOff>
    </xdr:to>
    <xdr:sp macro="" textlink="">
      <xdr:nvSpPr>
        <xdr:cNvPr id="37" name="Text Box 3">
          <a:extLst>
            <a:ext uri="{FF2B5EF4-FFF2-40B4-BE49-F238E27FC236}">
              <a16:creationId xmlns:a16="http://schemas.microsoft.com/office/drawing/2014/main" id="{ACA3E6A1-A649-4D08-A86C-F2B35D726FD1}"/>
            </a:ext>
          </a:extLst>
        </xdr:cNvPr>
        <xdr:cNvSpPr txBox="1">
          <a:spLocks noChangeArrowheads="1"/>
        </xdr:cNvSpPr>
      </xdr:nvSpPr>
      <xdr:spPr bwMode="auto">
        <a:xfrm>
          <a:off x="8893534" y="4876797"/>
          <a:ext cx="2111016" cy="23336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0" anchor="t" upright="1"/>
        <a:lstStyle/>
        <a:p>
          <a:pPr algn="ctr" rtl="1">
            <a:defRPr sz="1000"/>
          </a:pPr>
          <a:r>
            <a:rPr lang="pt-BR" sz="1000" b="0" i="0" u="none" strike="noStrike">
              <a:solidFill>
                <a:srgbClr val="000000"/>
              </a:solidFill>
              <a:latin typeface="Calibri"/>
            </a:rPr>
            <a:t>ATIVIDADES ESPECIAIS</a:t>
          </a:r>
        </a:p>
      </xdr:txBody>
    </xdr:sp>
    <xdr:clientData/>
  </xdr:twoCellAnchor>
  <xdr:twoCellAnchor>
    <xdr:from>
      <xdr:col>0</xdr:col>
      <xdr:colOff>50767</xdr:colOff>
      <xdr:row>1</xdr:row>
      <xdr:rowOff>0</xdr:rowOff>
    </xdr:from>
    <xdr:to>
      <xdr:col>5</xdr:col>
      <xdr:colOff>578305</xdr:colOff>
      <xdr:row>3</xdr:row>
      <xdr:rowOff>152401</xdr:rowOff>
    </xdr:to>
    <xdr:sp macro="" textlink="">
      <xdr:nvSpPr>
        <xdr:cNvPr id="38" name="CaixaDeTexto 37">
          <a:extLst>
            <a:ext uri="{FF2B5EF4-FFF2-40B4-BE49-F238E27FC236}">
              <a16:creationId xmlns:a16="http://schemas.microsoft.com/office/drawing/2014/main" id="{C0FE1FF7-F64A-449B-A9E5-13ADBF8A2854}"/>
            </a:ext>
          </a:extLst>
        </xdr:cNvPr>
        <xdr:cNvSpPr txBox="1"/>
      </xdr:nvSpPr>
      <xdr:spPr>
        <a:xfrm>
          <a:off x="50767" y="76200"/>
          <a:ext cx="4766163" cy="609601"/>
        </a:xfrm>
        <a:prstGeom prst="rect">
          <a:avLst/>
        </a:prstGeom>
        <a:ln w="12700">
          <a:noFill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pt-BR"/>
        </a:p>
      </xdr:txBody>
    </xdr:sp>
    <xdr:clientData/>
  </xdr:twoCellAnchor>
  <xdr:twoCellAnchor>
    <xdr:from>
      <xdr:col>0</xdr:col>
      <xdr:colOff>38100</xdr:colOff>
      <xdr:row>1</xdr:row>
      <xdr:rowOff>142875</xdr:rowOff>
    </xdr:from>
    <xdr:to>
      <xdr:col>5</xdr:col>
      <xdr:colOff>523875</xdr:colOff>
      <xdr:row>3</xdr:row>
      <xdr:rowOff>209550</xdr:rowOff>
    </xdr:to>
    <xdr:pic>
      <xdr:nvPicPr>
        <xdr:cNvPr id="39" name="Imagem 6" descr="nova logo 2">
          <a:extLst>
            <a:ext uri="{FF2B5EF4-FFF2-40B4-BE49-F238E27FC236}">
              <a16:creationId xmlns:a16="http://schemas.microsoft.com/office/drawing/2014/main" id="{218F5AC1-6113-4465-8F04-22B87DB53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19075"/>
          <a:ext cx="47244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121009</xdr:colOff>
      <xdr:row>25</xdr:row>
      <xdr:rowOff>38097</xdr:rowOff>
    </xdr:from>
    <xdr:to>
      <xdr:col>14</xdr:col>
      <xdr:colOff>603250</xdr:colOff>
      <xdr:row>26</xdr:row>
      <xdr:rowOff>109537</xdr:rowOff>
    </xdr:to>
    <xdr:sp macro="" textlink="">
      <xdr:nvSpPr>
        <xdr:cNvPr id="41" name="Text Box 3">
          <a:extLst>
            <a:ext uri="{FF2B5EF4-FFF2-40B4-BE49-F238E27FC236}">
              <a16:creationId xmlns:a16="http://schemas.microsoft.com/office/drawing/2014/main" id="{10BFF18C-15A1-4546-905C-15FDCFDBBD8A}"/>
            </a:ext>
          </a:extLst>
        </xdr:cNvPr>
        <xdr:cNvSpPr txBox="1">
          <a:spLocks noChangeArrowheads="1"/>
        </xdr:cNvSpPr>
      </xdr:nvSpPr>
      <xdr:spPr bwMode="auto">
        <a:xfrm>
          <a:off x="8893534" y="4876797"/>
          <a:ext cx="2111016" cy="23336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0" anchor="t" upright="1"/>
        <a:lstStyle/>
        <a:p>
          <a:pPr algn="ctr" rtl="1">
            <a:defRPr sz="1000"/>
          </a:pPr>
          <a:r>
            <a:rPr lang="pt-BR" sz="1000" b="0" i="0" u="none" strike="noStrike">
              <a:solidFill>
                <a:srgbClr val="000000"/>
              </a:solidFill>
              <a:latin typeface="Calibri"/>
            </a:rPr>
            <a:t>ATIVIDADES ESPECIAIS</a:t>
          </a:r>
        </a:p>
      </xdr:txBody>
    </xdr:sp>
    <xdr:clientData/>
  </xdr:twoCellAnchor>
  <xdr:twoCellAnchor>
    <xdr:from>
      <xdr:col>0</xdr:col>
      <xdr:colOff>50767</xdr:colOff>
      <xdr:row>1</xdr:row>
      <xdr:rowOff>0</xdr:rowOff>
    </xdr:from>
    <xdr:to>
      <xdr:col>5</xdr:col>
      <xdr:colOff>578305</xdr:colOff>
      <xdr:row>3</xdr:row>
      <xdr:rowOff>152401</xdr:rowOff>
    </xdr:to>
    <xdr:sp macro="" textlink="">
      <xdr:nvSpPr>
        <xdr:cNvPr id="42" name="CaixaDeTexto 41">
          <a:extLst>
            <a:ext uri="{FF2B5EF4-FFF2-40B4-BE49-F238E27FC236}">
              <a16:creationId xmlns:a16="http://schemas.microsoft.com/office/drawing/2014/main" id="{E72B7AEE-86AC-40FE-BF6D-4D51D5D872F7}"/>
            </a:ext>
          </a:extLst>
        </xdr:cNvPr>
        <xdr:cNvSpPr txBox="1"/>
      </xdr:nvSpPr>
      <xdr:spPr>
        <a:xfrm>
          <a:off x="50767" y="76200"/>
          <a:ext cx="4766163" cy="609601"/>
        </a:xfrm>
        <a:prstGeom prst="rect">
          <a:avLst/>
        </a:prstGeom>
        <a:ln w="12700">
          <a:noFill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pt-BR"/>
        </a:p>
      </xdr:txBody>
    </xdr:sp>
    <xdr:clientData/>
  </xdr:twoCellAnchor>
  <xdr:twoCellAnchor>
    <xdr:from>
      <xdr:col>0</xdr:col>
      <xdr:colOff>38100</xdr:colOff>
      <xdr:row>1</xdr:row>
      <xdr:rowOff>142875</xdr:rowOff>
    </xdr:from>
    <xdr:to>
      <xdr:col>5</xdr:col>
      <xdr:colOff>523875</xdr:colOff>
      <xdr:row>3</xdr:row>
      <xdr:rowOff>209550</xdr:rowOff>
    </xdr:to>
    <xdr:pic>
      <xdr:nvPicPr>
        <xdr:cNvPr id="43" name="Imagem 6" descr="nova logo 2">
          <a:extLst>
            <a:ext uri="{FF2B5EF4-FFF2-40B4-BE49-F238E27FC236}">
              <a16:creationId xmlns:a16="http://schemas.microsoft.com/office/drawing/2014/main" id="{4105283E-3C6C-45CB-8D8B-C0F3A03C2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19075"/>
          <a:ext cx="47244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121009</xdr:colOff>
      <xdr:row>25</xdr:row>
      <xdr:rowOff>38097</xdr:rowOff>
    </xdr:from>
    <xdr:to>
      <xdr:col>14</xdr:col>
      <xdr:colOff>603250</xdr:colOff>
      <xdr:row>26</xdr:row>
      <xdr:rowOff>109537</xdr:rowOff>
    </xdr:to>
    <xdr:sp macro="" textlink="">
      <xdr:nvSpPr>
        <xdr:cNvPr id="44" name="Text Box 3">
          <a:extLst>
            <a:ext uri="{FF2B5EF4-FFF2-40B4-BE49-F238E27FC236}">
              <a16:creationId xmlns:a16="http://schemas.microsoft.com/office/drawing/2014/main" id="{D5F48A65-4B2A-4111-92D5-72026F19DE60}"/>
            </a:ext>
          </a:extLst>
        </xdr:cNvPr>
        <xdr:cNvSpPr txBox="1">
          <a:spLocks noChangeArrowheads="1"/>
        </xdr:cNvSpPr>
      </xdr:nvSpPr>
      <xdr:spPr bwMode="auto">
        <a:xfrm>
          <a:off x="8893534" y="4876797"/>
          <a:ext cx="2111016" cy="23336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0" anchor="t" upright="1"/>
        <a:lstStyle/>
        <a:p>
          <a:pPr algn="ctr" rtl="1">
            <a:defRPr sz="1000"/>
          </a:pPr>
          <a:r>
            <a:rPr lang="pt-BR" sz="1000" b="0" i="0" u="none" strike="noStrike">
              <a:solidFill>
                <a:srgbClr val="000000"/>
              </a:solidFill>
              <a:latin typeface="Calibri"/>
            </a:rPr>
            <a:t>ATIVIDADES ESPECIAIS</a:t>
          </a:r>
        </a:p>
      </xdr:txBody>
    </xdr:sp>
    <xdr:clientData/>
  </xdr:twoCellAnchor>
  <xdr:twoCellAnchor>
    <xdr:from>
      <xdr:col>0</xdr:col>
      <xdr:colOff>50767</xdr:colOff>
      <xdr:row>1</xdr:row>
      <xdr:rowOff>0</xdr:rowOff>
    </xdr:from>
    <xdr:to>
      <xdr:col>5</xdr:col>
      <xdr:colOff>578305</xdr:colOff>
      <xdr:row>3</xdr:row>
      <xdr:rowOff>152401</xdr:rowOff>
    </xdr:to>
    <xdr:sp macro="" textlink="">
      <xdr:nvSpPr>
        <xdr:cNvPr id="45" name="CaixaDeTexto 44">
          <a:extLst>
            <a:ext uri="{FF2B5EF4-FFF2-40B4-BE49-F238E27FC236}">
              <a16:creationId xmlns:a16="http://schemas.microsoft.com/office/drawing/2014/main" id="{6C2FF117-DE34-41F4-A3AE-1F55AE358D42}"/>
            </a:ext>
          </a:extLst>
        </xdr:cNvPr>
        <xdr:cNvSpPr txBox="1"/>
      </xdr:nvSpPr>
      <xdr:spPr>
        <a:xfrm>
          <a:off x="50767" y="76200"/>
          <a:ext cx="4766163" cy="609601"/>
        </a:xfrm>
        <a:prstGeom prst="rect">
          <a:avLst/>
        </a:prstGeom>
        <a:ln w="12700">
          <a:noFill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pt-BR"/>
        </a:p>
      </xdr:txBody>
    </xdr:sp>
    <xdr:clientData/>
  </xdr:twoCellAnchor>
  <xdr:twoCellAnchor>
    <xdr:from>
      <xdr:col>0</xdr:col>
      <xdr:colOff>38100</xdr:colOff>
      <xdr:row>1</xdr:row>
      <xdr:rowOff>142875</xdr:rowOff>
    </xdr:from>
    <xdr:to>
      <xdr:col>5</xdr:col>
      <xdr:colOff>523875</xdr:colOff>
      <xdr:row>3</xdr:row>
      <xdr:rowOff>209550</xdr:rowOff>
    </xdr:to>
    <xdr:pic>
      <xdr:nvPicPr>
        <xdr:cNvPr id="46" name="Imagem 6" descr="nova logo 2">
          <a:extLst>
            <a:ext uri="{FF2B5EF4-FFF2-40B4-BE49-F238E27FC236}">
              <a16:creationId xmlns:a16="http://schemas.microsoft.com/office/drawing/2014/main" id="{EB608CEB-1FBD-472F-A41C-9CE447C76C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19075"/>
          <a:ext cx="47244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121009</xdr:colOff>
      <xdr:row>25</xdr:row>
      <xdr:rowOff>38097</xdr:rowOff>
    </xdr:from>
    <xdr:to>
      <xdr:col>14</xdr:col>
      <xdr:colOff>603250</xdr:colOff>
      <xdr:row>26</xdr:row>
      <xdr:rowOff>109537</xdr:rowOff>
    </xdr:to>
    <xdr:sp macro="" textlink="">
      <xdr:nvSpPr>
        <xdr:cNvPr id="48" name="Text Box 3">
          <a:extLst>
            <a:ext uri="{FF2B5EF4-FFF2-40B4-BE49-F238E27FC236}">
              <a16:creationId xmlns:a16="http://schemas.microsoft.com/office/drawing/2014/main" id="{8BB4A417-70B5-4B16-B52A-693D7425E27B}"/>
            </a:ext>
          </a:extLst>
        </xdr:cNvPr>
        <xdr:cNvSpPr txBox="1">
          <a:spLocks noChangeArrowheads="1"/>
        </xdr:cNvSpPr>
      </xdr:nvSpPr>
      <xdr:spPr bwMode="auto">
        <a:xfrm>
          <a:off x="8893534" y="4876797"/>
          <a:ext cx="2111016" cy="23336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0" anchor="t" upright="1"/>
        <a:lstStyle/>
        <a:p>
          <a:pPr algn="ctr" rtl="1">
            <a:defRPr sz="1000"/>
          </a:pPr>
          <a:r>
            <a:rPr lang="pt-BR" sz="1000" b="0" i="0" u="none" strike="noStrike">
              <a:solidFill>
                <a:srgbClr val="000000"/>
              </a:solidFill>
              <a:latin typeface="Calibri"/>
            </a:rPr>
            <a:t>ATIVIDADES ESPECIAIS</a:t>
          </a:r>
        </a:p>
      </xdr:txBody>
    </xdr:sp>
    <xdr:clientData/>
  </xdr:twoCellAnchor>
  <xdr:twoCellAnchor>
    <xdr:from>
      <xdr:col>0</xdr:col>
      <xdr:colOff>50767</xdr:colOff>
      <xdr:row>1</xdr:row>
      <xdr:rowOff>0</xdr:rowOff>
    </xdr:from>
    <xdr:to>
      <xdr:col>5</xdr:col>
      <xdr:colOff>578305</xdr:colOff>
      <xdr:row>3</xdr:row>
      <xdr:rowOff>152401</xdr:rowOff>
    </xdr:to>
    <xdr:sp macro="" textlink="">
      <xdr:nvSpPr>
        <xdr:cNvPr id="49" name="CaixaDeTexto 48">
          <a:extLst>
            <a:ext uri="{FF2B5EF4-FFF2-40B4-BE49-F238E27FC236}">
              <a16:creationId xmlns:a16="http://schemas.microsoft.com/office/drawing/2014/main" id="{31FE1E8E-FA62-42F6-942F-204C848BBB0A}"/>
            </a:ext>
          </a:extLst>
        </xdr:cNvPr>
        <xdr:cNvSpPr txBox="1"/>
      </xdr:nvSpPr>
      <xdr:spPr>
        <a:xfrm>
          <a:off x="50767" y="76200"/>
          <a:ext cx="4766163" cy="609601"/>
        </a:xfrm>
        <a:prstGeom prst="rect">
          <a:avLst/>
        </a:prstGeom>
        <a:ln w="12700">
          <a:noFill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pt-BR"/>
        </a:p>
      </xdr:txBody>
    </xdr:sp>
    <xdr:clientData/>
  </xdr:twoCellAnchor>
  <xdr:twoCellAnchor>
    <xdr:from>
      <xdr:col>0</xdr:col>
      <xdr:colOff>38100</xdr:colOff>
      <xdr:row>1</xdr:row>
      <xdr:rowOff>142875</xdr:rowOff>
    </xdr:from>
    <xdr:to>
      <xdr:col>5</xdr:col>
      <xdr:colOff>523875</xdr:colOff>
      <xdr:row>3</xdr:row>
      <xdr:rowOff>209550</xdr:rowOff>
    </xdr:to>
    <xdr:pic>
      <xdr:nvPicPr>
        <xdr:cNvPr id="50" name="Imagem 6" descr="nova logo 2">
          <a:extLst>
            <a:ext uri="{FF2B5EF4-FFF2-40B4-BE49-F238E27FC236}">
              <a16:creationId xmlns:a16="http://schemas.microsoft.com/office/drawing/2014/main" id="{3E8000F7-22E8-4D17-BBD3-D355DA071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19075"/>
          <a:ext cx="47244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121009</xdr:colOff>
      <xdr:row>25</xdr:row>
      <xdr:rowOff>38097</xdr:rowOff>
    </xdr:from>
    <xdr:to>
      <xdr:col>14</xdr:col>
      <xdr:colOff>603250</xdr:colOff>
      <xdr:row>26</xdr:row>
      <xdr:rowOff>109537</xdr:rowOff>
    </xdr:to>
    <xdr:sp macro="" textlink="">
      <xdr:nvSpPr>
        <xdr:cNvPr id="51" name="Text Box 3">
          <a:extLst>
            <a:ext uri="{FF2B5EF4-FFF2-40B4-BE49-F238E27FC236}">
              <a16:creationId xmlns:a16="http://schemas.microsoft.com/office/drawing/2014/main" id="{9914DC6B-DF17-426B-9253-3BE2D5041062}"/>
            </a:ext>
          </a:extLst>
        </xdr:cNvPr>
        <xdr:cNvSpPr txBox="1">
          <a:spLocks noChangeArrowheads="1"/>
        </xdr:cNvSpPr>
      </xdr:nvSpPr>
      <xdr:spPr bwMode="auto">
        <a:xfrm>
          <a:off x="8893534" y="4876797"/>
          <a:ext cx="2111016" cy="23336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0" anchor="t" upright="1"/>
        <a:lstStyle/>
        <a:p>
          <a:pPr algn="ctr" rtl="1">
            <a:defRPr sz="1000"/>
          </a:pPr>
          <a:r>
            <a:rPr lang="pt-BR" sz="1000" b="0" i="0" u="none" strike="noStrike">
              <a:solidFill>
                <a:srgbClr val="000000"/>
              </a:solidFill>
              <a:latin typeface="Calibri"/>
            </a:rPr>
            <a:t>ATIVIDADES ESPECIAIS</a:t>
          </a:r>
        </a:p>
      </xdr:txBody>
    </xdr:sp>
    <xdr:clientData/>
  </xdr:twoCellAnchor>
  <xdr:twoCellAnchor>
    <xdr:from>
      <xdr:col>0</xdr:col>
      <xdr:colOff>50767</xdr:colOff>
      <xdr:row>1</xdr:row>
      <xdr:rowOff>0</xdr:rowOff>
    </xdr:from>
    <xdr:to>
      <xdr:col>5</xdr:col>
      <xdr:colOff>578305</xdr:colOff>
      <xdr:row>3</xdr:row>
      <xdr:rowOff>152401</xdr:rowOff>
    </xdr:to>
    <xdr:sp macro="" textlink="">
      <xdr:nvSpPr>
        <xdr:cNvPr id="52" name="CaixaDeTexto 51">
          <a:extLst>
            <a:ext uri="{FF2B5EF4-FFF2-40B4-BE49-F238E27FC236}">
              <a16:creationId xmlns:a16="http://schemas.microsoft.com/office/drawing/2014/main" id="{FF14B689-6112-4206-8260-F2E45C895804}"/>
            </a:ext>
          </a:extLst>
        </xdr:cNvPr>
        <xdr:cNvSpPr txBox="1"/>
      </xdr:nvSpPr>
      <xdr:spPr>
        <a:xfrm>
          <a:off x="50767" y="76200"/>
          <a:ext cx="4766163" cy="609601"/>
        </a:xfrm>
        <a:prstGeom prst="rect">
          <a:avLst/>
        </a:prstGeom>
        <a:ln w="12700">
          <a:noFill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pt-BR"/>
        </a:p>
      </xdr:txBody>
    </xdr:sp>
    <xdr:clientData/>
  </xdr:twoCellAnchor>
  <xdr:twoCellAnchor>
    <xdr:from>
      <xdr:col>0</xdr:col>
      <xdr:colOff>38100</xdr:colOff>
      <xdr:row>1</xdr:row>
      <xdr:rowOff>142875</xdr:rowOff>
    </xdr:from>
    <xdr:to>
      <xdr:col>5</xdr:col>
      <xdr:colOff>523875</xdr:colOff>
      <xdr:row>3</xdr:row>
      <xdr:rowOff>209550</xdr:rowOff>
    </xdr:to>
    <xdr:pic>
      <xdr:nvPicPr>
        <xdr:cNvPr id="53" name="Imagem 6" descr="nova logo 2">
          <a:extLst>
            <a:ext uri="{FF2B5EF4-FFF2-40B4-BE49-F238E27FC236}">
              <a16:creationId xmlns:a16="http://schemas.microsoft.com/office/drawing/2014/main" id="{27A3C5C5-2712-4CB9-A31C-EE2867128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19075"/>
          <a:ext cx="47244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121009</xdr:colOff>
      <xdr:row>25</xdr:row>
      <xdr:rowOff>38097</xdr:rowOff>
    </xdr:from>
    <xdr:to>
      <xdr:col>14</xdr:col>
      <xdr:colOff>603250</xdr:colOff>
      <xdr:row>26</xdr:row>
      <xdr:rowOff>109537</xdr:rowOff>
    </xdr:to>
    <xdr:sp macro="" textlink="">
      <xdr:nvSpPr>
        <xdr:cNvPr id="55" name="Text Box 3">
          <a:extLst>
            <a:ext uri="{FF2B5EF4-FFF2-40B4-BE49-F238E27FC236}">
              <a16:creationId xmlns:a16="http://schemas.microsoft.com/office/drawing/2014/main" id="{B7998981-96BC-4A2E-BDC9-97E7D7C1921A}"/>
            </a:ext>
          </a:extLst>
        </xdr:cNvPr>
        <xdr:cNvSpPr txBox="1">
          <a:spLocks noChangeArrowheads="1"/>
        </xdr:cNvSpPr>
      </xdr:nvSpPr>
      <xdr:spPr bwMode="auto">
        <a:xfrm>
          <a:off x="8893534" y="4876797"/>
          <a:ext cx="2111016" cy="23336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0" anchor="t" upright="1"/>
        <a:lstStyle/>
        <a:p>
          <a:pPr algn="ctr" rtl="1">
            <a:defRPr sz="1000"/>
          </a:pPr>
          <a:r>
            <a:rPr lang="pt-BR" sz="1000" b="0" i="0" u="none" strike="noStrike">
              <a:solidFill>
                <a:srgbClr val="000000"/>
              </a:solidFill>
              <a:latin typeface="Calibri"/>
            </a:rPr>
            <a:t>ATIVIDADES ESPECIAIS</a:t>
          </a:r>
        </a:p>
      </xdr:txBody>
    </xdr:sp>
    <xdr:clientData/>
  </xdr:twoCellAnchor>
  <xdr:twoCellAnchor>
    <xdr:from>
      <xdr:col>0</xdr:col>
      <xdr:colOff>50767</xdr:colOff>
      <xdr:row>1</xdr:row>
      <xdr:rowOff>0</xdr:rowOff>
    </xdr:from>
    <xdr:to>
      <xdr:col>5</xdr:col>
      <xdr:colOff>578305</xdr:colOff>
      <xdr:row>3</xdr:row>
      <xdr:rowOff>152401</xdr:rowOff>
    </xdr:to>
    <xdr:sp macro="" textlink="">
      <xdr:nvSpPr>
        <xdr:cNvPr id="56" name="CaixaDeTexto 55">
          <a:extLst>
            <a:ext uri="{FF2B5EF4-FFF2-40B4-BE49-F238E27FC236}">
              <a16:creationId xmlns:a16="http://schemas.microsoft.com/office/drawing/2014/main" id="{4832F86F-2A9A-4B75-9789-BA75308621A6}"/>
            </a:ext>
          </a:extLst>
        </xdr:cNvPr>
        <xdr:cNvSpPr txBox="1"/>
      </xdr:nvSpPr>
      <xdr:spPr>
        <a:xfrm>
          <a:off x="50767" y="76200"/>
          <a:ext cx="4766163" cy="609601"/>
        </a:xfrm>
        <a:prstGeom prst="rect">
          <a:avLst/>
        </a:prstGeom>
        <a:ln w="12700">
          <a:noFill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pt-BR"/>
        </a:p>
      </xdr:txBody>
    </xdr:sp>
    <xdr:clientData/>
  </xdr:twoCellAnchor>
  <xdr:twoCellAnchor>
    <xdr:from>
      <xdr:col>0</xdr:col>
      <xdr:colOff>38100</xdr:colOff>
      <xdr:row>1</xdr:row>
      <xdr:rowOff>142875</xdr:rowOff>
    </xdr:from>
    <xdr:to>
      <xdr:col>5</xdr:col>
      <xdr:colOff>523875</xdr:colOff>
      <xdr:row>3</xdr:row>
      <xdr:rowOff>209550</xdr:rowOff>
    </xdr:to>
    <xdr:pic>
      <xdr:nvPicPr>
        <xdr:cNvPr id="57" name="Imagem 6" descr="nova logo 2">
          <a:extLst>
            <a:ext uri="{FF2B5EF4-FFF2-40B4-BE49-F238E27FC236}">
              <a16:creationId xmlns:a16="http://schemas.microsoft.com/office/drawing/2014/main" id="{A148B276-BC3D-4F6E-AB64-A6044BCF7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19075"/>
          <a:ext cx="47244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19050</xdr:colOff>
      <xdr:row>1</xdr:row>
      <xdr:rowOff>104775</xdr:rowOff>
    </xdr:from>
    <xdr:to>
      <xdr:col>5</xdr:col>
      <xdr:colOff>504825</xdr:colOff>
      <xdr:row>3</xdr:row>
      <xdr:rowOff>171450</xdr:rowOff>
    </xdr:to>
    <xdr:pic>
      <xdr:nvPicPr>
        <xdr:cNvPr id="62" name="Imagem 6" descr="nova logo 2">
          <a:extLst>
            <a:ext uri="{FF2B5EF4-FFF2-40B4-BE49-F238E27FC236}">
              <a16:creationId xmlns:a16="http://schemas.microsoft.com/office/drawing/2014/main" id="{84BA8678-4F66-44CB-B484-9A77B7D1FF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180975"/>
          <a:ext cx="47244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19050</xdr:colOff>
      <xdr:row>1</xdr:row>
      <xdr:rowOff>104775</xdr:rowOff>
    </xdr:from>
    <xdr:to>
      <xdr:col>5</xdr:col>
      <xdr:colOff>504825</xdr:colOff>
      <xdr:row>3</xdr:row>
      <xdr:rowOff>171450</xdr:rowOff>
    </xdr:to>
    <xdr:pic>
      <xdr:nvPicPr>
        <xdr:cNvPr id="64" name="Imagem 6" descr="nova logo 2">
          <a:extLst>
            <a:ext uri="{FF2B5EF4-FFF2-40B4-BE49-F238E27FC236}">
              <a16:creationId xmlns:a16="http://schemas.microsoft.com/office/drawing/2014/main" id="{B5F91185-0D37-4F52-B89F-215CD45E9E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180975"/>
          <a:ext cx="47244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19050</xdr:colOff>
      <xdr:row>1</xdr:row>
      <xdr:rowOff>104775</xdr:rowOff>
    </xdr:from>
    <xdr:to>
      <xdr:col>5</xdr:col>
      <xdr:colOff>504825</xdr:colOff>
      <xdr:row>3</xdr:row>
      <xdr:rowOff>171450</xdr:rowOff>
    </xdr:to>
    <xdr:pic>
      <xdr:nvPicPr>
        <xdr:cNvPr id="66" name="Imagem 6" descr="nova logo 2">
          <a:extLst>
            <a:ext uri="{FF2B5EF4-FFF2-40B4-BE49-F238E27FC236}">
              <a16:creationId xmlns:a16="http://schemas.microsoft.com/office/drawing/2014/main" id="{D4B6087D-A734-410E-B5D4-2D7B198618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180975"/>
          <a:ext cx="47244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19050</xdr:colOff>
      <xdr:row>1</xdr:row>
      <xdr:rowOff>104775</xdr:rowOff>
    </xdr:from>
    <xdr:to>
      <xdr:col>5</xdr:col>
      <xdr:colOff>504825</xdr:colOff>
      <xdr:row>3</xdr:row>
      <xdr:rowOff>171450</xdr:rowOff>
    </xdr:to>
    <xdr:pic>
      <xdr:nvPicPr>
        <xdr:cNvPr id="67" name="Imagem 6" descr="nova logo 2">
          <a:extLst>
            <a:ext uri="{FF2B5EF4-FFF2-40B4-BE49-F238E27FC236}">
              <a16:creationId xmlns:a16="http://schemas.microsoft.com/office/drawing/2014/main" id="{EF792ED1-06A9-4041-A90D-DF434AB5B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180975"/>
          <a:ext cx="47244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19050</xdr:colOff>
      <xdr:row>1</xdr:row>
      <xdr:rowOff>104775</xdr:rowOff>
    </xdr:from>
    <xdr:to>
      <xdr:col>5</xdr:col>
      <xdr:colOff>504825</xdr:colOff>
      <xdr:row>3</xdr:row>
      <xdr:rowOff>171450</xdr:rowOff>
    </xdr:to>
    <xdr:pic>
      <xdr:nvPicPr>
        <xdr:cNvPr id="69" name="Imagem 6" descr="nova logo 2">
          <a:extLst>
            <a:ext uri="{FF2B5EF4-FFF2-40B4-BE49-F238E27FC236}">
              <a16:creationId xmlns:a16="http://schemas.microsoft.com/office/drawing/2014/main" id="{84DF34C7-91AE-435B-9479-DD5CA7F625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180975"/>
          <a:ext cx="47244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19050</xdr:colOff>
      <xdr:row>1</xdr:row>
      <xdr:rowOff>104775</xdr:rowOff>
    </xdr:from>
    <xdr:to>
      <xdr:col>5</xdr:col>
      <xdr:colOff>504825</xdr:colOff>
      <xdr:row>3</xdr:row>
      <xdr:rowOff>171450</xdr:rowOff>
    </xdr:to>
    <xdr:pic>
      <xdr:nvPicPr>
        <xdr:cNvPr id="71" name="Imagem 6" descr="nova logo 2">
          <a:extLst>
            <a:ext uri="{FF2B5EF4-FFF2-40B4-BE49-F238E27FC236}">
              <a16:creationId xmlns:a16="http://schemas.microsoft.com/office/drawing/2014/main" id="{5A9155DE-C1F8-4640-930E-A83E56AB70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180975"/>
          <a:ext cx="47244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19050</xdr:colOff>
      <xdr:row>1</xdr:row>
      <xdr:rowOff>104775</xdr:rowOff>
    </xdr:from>
    <xdr:to>
      <xdr:col>5</xdr:col>
      <xdr:colOff>504825</xdr:colOff>
      <xdr:row>3</xdr:row>
      <xdr:rowOff>171450</xdr:rowOff>
    </xdr:to>
    <xdr:pic>
      <xdr:nvPicPr>
        <xdr:cNvPr id="73" name="Imagem 6" descr="nova logo 2">
          <a:extLst>
            <a:ext uri="{FF2B5EF4-FFF2-40B4-BE49-F238E27FC236}">
              <a16:creationId xmlns:a16="http://schemas.microsoft.com/office/drawing/2014/main" id="{16433BAC-4A7B-478A-9918-C7D4A7620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180975"/>
          <a:ext cx="47244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19050</xdr:colOff>
      <xdr:row>1</xdr:row>
      <xdr:rowOff>104775</xdr:rowOff>
    </xdr:from>
    <xdr:to>
      <xdr:col>5</xdr:col>
      <xdr:colOff>504825</xdr:colOff>
      <xdr:row>3</xdr:row>
      <xdr:rowOff>171450</xdr:rowOff>
    </xdr:to>
    <xdr:pic>
      <xdr:nvPicPr>
        <xdr:cNvPr id="75" name="Imagem 6" descr="nova logo 2">
          <a:extLst>
            <a:ext uri="{FF2B5EF4-FFF2-40B4-BE49-F238E27FC236}">
              <a16:creationId xmlns:a16="http://schemas.microsoft.com/office/drawing/2014/main" id="{C6CCC5B2-8D55-4AEA-A9D3-AA15813BF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180975"/>
          <a:ext cx="47244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19050</xdr:colOff>
      <xdr:row>1</xdr:row>
      <xdr:rowOff>104775</xdr:rowOff>
    </xdr:from>
    <xdr:to>
      <xdr:col>5</xdr:col>
      <xdr:colOff>504825</xdr:colOff>
      <xdr:row>3</xdr:row>
      <xdr:rowOff>171450</xdr:rowOff>
    </xdr:to>
    <xdr:pic>
      <xdr:nvPicPr>
        <xdr:cNvPr id="77" name="Imagem 6" descr="nova logo 2">
          <a:extLst>
            <a:ext uri="{FF2B5EF4-FFF2-40B4-BE49-F238E27FC236}">
              <a16:creationId xmlns:a16="http://schemas.microsoft.com/office/drawing/2014/main" id="{23EEDEBD-D3DE-4092-8465-CBAB056547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180975"/>
          <a:ext cx="47244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8720</xdr:colOff>
      <xdr:row>14</xdr:row>
      <xdr:rowOff>9526</xdr:rowOff>
    </xdr:from>
    <xdr:to>
      <xdr:col>8</xdr:col>
      <xdr:colOff>0</xdr:colOff>
      <xdr:row>24</xdr:row>
      <xdr:rowOff>19050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09564687-CD6D-2C41-CEC8-071232F0CC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28295" y="2752726"/>
          <a:ext cx="2172505" cy="19145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66675</xdr:rowOff>
    </xdr:from>
    <xdr:to>
      <xdr:col>5</xdr:col>
      <xdr:colOff>28575</xdr:colOff>
      <xdr:row>5</xdr:row>
      <xdr:rowOff>19050</xdr:rowOff>
    </xdr:to>
    <xdr:pic>
      <xdr:nvPicPr>
        <xdr:cNvPr id="2" name="Imagem 2" descr="nova logo 2">
          <a:extLst>
            <a:ext uri="{FF2B5EF4-FFF2-40B4-BE49-F238E27FC236}">
              <a16:creationId xmlns:a16="http://schemas.microsoft.com/office/drawing/2014/main" id="{37D75CFF-560C-49B1-A9C8-3E5DCE91C8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66675"/>
          <a:ext cx="5972175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289DD-2A7D-4274-9B9D-DD0232379E28}">
  <dimension ref="A1:P100"/>
  <sheetViews>
    <sheetView tabSelected="1" workbookViewId="0">
      <selection activeCell="K20" sqref="K20"/>
    </sheetView>
  </sheetViews>
  <sheetFormatPr defaultColWidth="14.42578125" defaultRowHeight="15" x14ac:dyDescent="0.25"/>
  <cols>
    <col min="1" max="1" width="19.5703125" customWidth="1"/>
    <col min="2" max="2" width="9.7109375" customWidth="1"/>
    <col min="3" max="4" width="11.7109375" customWidth="1"/>
    <col min="5" max="5" width="10.5703125" customWidth="1"/>
    <col min="6" max="6" width="11.7109375" customWidth="1"/>
    <col min="7" max="7" width="10.42578125" customWidth="1"/>
    <col min="8" max="9" width="10.5703125" customWidth="1"/>
    <col min="10" max="10" width="11.5703125" customWidth="1"/>
    <col min="11" max="12" width="11.7109375" customWidth="1"/>
    <col min="13" max="13" width="10.5703125" customWidth="1"/>
    <col min="14" max="14" width="13.7109375" customWidth="1"/>
    <col min="15" max="15" width="15.140625" customWidth="1"/>
    <col min="16" max="17" width="8.5703125" customWidth="1"/>
    <col min="258" max="258" width="19.5703125" customWidth="1"/>
    <col min="259" max="259" width="9.7109375" customWidth="1"/>
    <col min="260" max="261" width="11.7109375" customWidth="1"/>
    <col min="262" max="262" width="10.5703125" customWidth="1"/>
    <col min="263" max="263" width="11.7109375" customWidth="1"/>
    <col min="264" max="264" width="10.42578125" customWidth="1"/>
    <col min="265" max="265" width="10.5703125" customWidth="1"/>
    <col min="266" max="266" width="11.5703125" customWidth="1"/>
    <col min="267" max="268" width="11.7109375" customWidth="1"/>
    <col min="269" max="269" width="10.5703125" customWidth="1"/>
    <col min="270" max="271" width="13.7109375" customWidth="1"/>
    <col min="272" max="273" width="8.5703125" customWidth="1"/>
    <col min="514" max="514" width="19.5703125" customWidth="1"/>
    <col min="515" max="515" width="9.7109375" customWidth="1"/>
    <col min="516" max="517" width="11.7109375" customWidth="1"/>
    <col min="518" max="518" width="10.5703125" customWidth="1"/>
    <col min="519" max="519" width="11.7109375" customWidth="1"/>
    <col min="520" max="520" width="10.42578125" customWidth="1"/>
    <col min="521" max="521" width="10.5703125" customWidth="1"/>
    <col min="522" max="522" width="11.5703125" customWidth="1"/>
    <col min="523" max="524" width="11.7109375" customWidth="1"/>
    <col min="525" max="525" width="10.5703125" customWidth="1"/>
    <col min="526" max="527" width="13.7109375" customWidth="1"/>
    <col min="528" max="529" width="8.5703125" customWidth="1"/>
    <col min="770" max="770" width="19.5703125" customWidth="1"/>
    <col min="771" max="771" width="9.7109375" customWidth="1"/>
    <col min="772" max="773" width="11.7109375" customWidth="1"/>
    <col min="774" max="774" width="10.5703125" customWidth="1"/>
    <col min="775" max="775" width="11.7109375" customWidth="1"/>
    <col min="776" max="776" width="10.42578125" customWidth="1"/>
    <col min="777" max="777" width="10.5703125" customWidth="1"/>
    <col min="778" max="778" width="11.5703125" customWidth="1"/>
    <col min="779" max="780" width="11.7109375" customWidth="1"/>
    <col min="781" max="781" width="10.5703125" customWidth="1"/>
    <col min="782" max="783" width="13.7109375" customWidth="1"/>
    <col min="784" max="785" width="8.5703125" customWidth="1"/>
    <col min="1026" max="1026" width="19.5703125" customWidth="1"/>
    <col min="1027" max="1027" width="9.7109375" customWidth="1"/>
    <col min="1028" max="1029" width="11.7109375" customWidth="1"/>
    <col min="1030" max="1030" width="10.5703125" customWidth="1"/>
    <col min="1031" max="1031" width="11.7109375" customWidth="1"/>
    <col min="1032" max="1032" width="10.42578125" customWidth="1"/>
    <col min="1033" max="1033" width="10.5703125" customWidth="1"/>
    <col min="1034" max="1034" width="11.5703125" customWidth="1"/>
    <col min="1035" max="1036" width="11.7109375" customWidth="1"/>
    <col min="1037" max="1037" width="10.5703125" customWidth="1"/>
    <col min="1038" max="1039" width="13.7109375" customWidth="1"/>
    <col min="1040" max="1041" width="8.5703125" customWidth="1"/>
    <col min="1282" max="1282" width="19.5703125" customWidth="1"/>
    <col min="1283" max="1283" width="9.7109375" customWidth="1"/>
    <col min="1284" max="1285" width="11.7109375" customWidth="1"/>
    <col min="1286" max="1286" width="10.5703125" customWidth="1"/>
    <col min="1287" max="1287" width="11.7109375" customWidth="1"/>
    <col min="1288" max="1288" width="10.42578125" customWidth="1"/>
    <col min="1289" max="1289" width="10.5703125" customWidth="1"/>
    <col min="1290" max="1290" width="11.5703125" customWidth="1"/>
    <col min="1291" max="1292" width="11.7109375" customWidth="1"/>
    <col min="1293" max="1293" width="10.5703125" customWidth="1"/>
    <col min="1294" max="1295" width="13.7109375" customWidth="1"/>
    <col min="1296" max="1297" width="8.5703125" customWidth="1"/>
    <col min="1538" max="1538" width="19.5703125" customWidth="1"/>
    <col min="1539" max="1539" width="9.7109375" customWidth="1"/>
    <col min="1540" max="1541" width="11.7109375" customWidth="1"/>
    <col min="1542" max="1542" width="10.5703125" customWidth="1"/>
    <col min="1543" max="1543" width="11.7109375" customWidth="1"/>
    <col min="1544" max="1544" width="10.42578125" customWidth="1"/>
    <col min="1545" max="1545" width="10.5703125" customWidth="1"/>
    <col min="1546" max="1546" width="11.5703125" customWidth="1"/>
    <col min="1547" max="1548" width="11.7109375" customWidth="1"/>
    <col min="1549" max="1549" width="10.5703125" customWidth="1"/>
    <col min="1550" max="1551" width="13.7109375" customWidth="1"/>
    <col min="1552" max="1553" width="8.5703125" customWidth="1"/>
    <col min="1794" max="1794" width="19.5703125" customWidth="1"/>
    <col min="1795" max="1795" width="9.7109375" customWidth="1"/>
    <col min="1796" max="1797" width="11.7109375" customWidth="1"/>
    <col min="1798" max="1798" width="10.5703125" customWidth="1"/>
    <col min="1799" max="1799" width="11.7109375" customWidth="1"/>
    <col min="1800" max="1800" width="10.42578125" customWidth="1"/>
    <col min="1801" max="1801" width="10.5703125" customWidth="1"/>
    <col min="1802" max="1802" width="11.5703125" customWidth="1"/>
    <col min="1803" max="1804" width="11.7109375" customWidth="1"/>
    <col min="1805" max="1805" width="10.5703125" customWidth="1"/>
    <col min="1806" max="1807" width="13.7109375" customWidth="1"/>
    <col min="1808" max="1809" width="8.5703125" customWidth="1"/>
    <col min="2050" max="2050" width="19.5703125" customWidth="1"/>
    <col min="2051" max="2051" width="9.7109375" customWidth="1"/>
    <col min="2052" max="2053" width="11.7109375" customWidth="1"/>
    <col min="2054" max="2054" width="10.5703125" customWidth="1"/>
    <col min="2055" max="2055" width="11.7109375" customWidth="1"/>
    <col min="2056" max="2056" width="10.42578125" customWidth="1"/>
    <col min="2057" max="2057" width="10.5703125" customWidth="1"/>
    <col min="2058" max="2058" width="11.5703125" customWidth="1"/>
    <col min="2059" max="2060" width="11.7109375" customWidth="1"/>
    <col min="2061" max="2061" width="10.5703125" customWidth="1"/>
    <col min="2062" max="2063" width="13.7109375" customWidth="1"/>
    <col min="2064" max="2065" width="8.5703125" customWidth="1"/>
    <col min="2306" max="2306" width="19.5703125" customWidth="1"/>
    <col min="2307" max="2307" width="9.7109375" customWidth="1"/>
    <col min="2308" max="2309" width="11.7109375" customWidth="1"/>
    <col min="2310" max="2310" width="10.5703125" customWidth="1"/>
    <col min="2311" max="2311" width="11.7109375" customWidth="1"/>
    <col min="2312" max="2312" width="10.42578125" customWidth="1"/>
    <col min="2313" max="2313" width="10.5703125" customWidth="1"/>
    <col min="2314" max="2314" width="11.5703125" customWidth="1"/>
    <col min="2315" max="2316" width="11.7109375" customWidth="1"/>
    <col min="2317" max="2317" width="10.5703125" customWidth="1"/>
    <col min="2318" max="2319" width="13.7109375" customWidth="1"/>
    <col min="2320" max="2321" width="8.5703125" customWidth="1"/>
    <col min="2562" max="2562" width="19.5703125" customWidth="1"/>
    <col min="2563" max="2563" width="9.7109375" customWidth="1"/>
    <col min="2564" max="2565" width="11.7109375" customWidth="1"/>
    <col min="2566" max="2566" width="10.5703125" customWidth="1"/>
    <col min="2567" max="2567" width="11.7109375" customWidth="1"/>
    <col min="2568" max="2568" width="10.42578125" customWidth="1"/>
    <col min="2569" max="2569" width="10.5703125" customWidth="1"/>
    <col min="2570" max="2570" width="11.5703125" customWidth="1"/>
    <col min="2571" max="2572" width="11.7109375" customWidth="1"/>
    <col min="2573" max="2573" width="10.5703125" customWidth="1"/>
    <col min="2574" max="2575" width="13.7109375" customWidth="1"/>
    <col min="2576" max="2577" width="8.5703125" customWidth="1"/>
    <col min="2818" max="2818" width="19.5703125" customWidth="1"/>
    <col min="2819" max="2819" width="9.7109375" customWidth="1"/>
    <col min="2820" max="2821" width="11.7109375" customWidth="1"/>
    <col min="2822" max="2822" width="10.5703125" customWidth="1"/>
    <col min="2823" max="2823" width="11.7109375" customWidth="1"/>
    <col min="2824" max="2824" width="10.42578125" customWidth="1"/>
    <col min="2825" max="2825" width="10.5703125" customWidth="1"/>
    <col min="2826" max="2826" width="11.5703125" customWidth="1"/>
    <col min="2827" max="2828" width="11.7109375" customWidth="1"/>
    <col min="2829" max="2829" width="10.5703125" customWidth="1"/>
    <col min="2830" max="2831" width="13.7109375" customWidth="1"/>
    <col min="2832" max="2833" width="8.5703125" customWidth="1"/>
    <col min="3074" max="3074" width="19.5703125" customWidth="1"/>
    <col min="3075" max="3075" width="9.7109375" customWidth="1"/>
    <col min="3076" max="3077" width="11.7109375" customWidth="1"/>
    <col min="3078" max="3078" width="10.5703125" customWidth="1"/>
    <col min="3079" max="3079" width="11.7109375" customWidth="1"/>
    <col min="3080" max="3080" width="10.42578125" customWidth="1"/>
    <col min="3081" max="3081" width="10.5703125" customWidth="1"/>
    <col min="3082" max="3082" width="11.5703125" customWidth="1"/>
    <col min="3083" max="3084" width="11.7109375" customWidth="1"/>
    <col min="3085" max="3085" width="10.5703125" customWidth="1"/>
    <col min="3086" max="3087" width="13.7109375" customWidth="1"/>
    <col min="3088" max="3089" width="8.5703125" customWidth="1"/>
    <col min="3330" max="3330" width="19.5703125" customWidth="1"/>
    <col min="3331" max="3331" width="9.7109375" customWidth="1"/>
    <col min="3332" max="3333" width="11.7109375" customWidth="1"/>
    <col min="3334" max="3334" width="10.5703125" customWidth="1"/>
    <col min="3335" max="3335" width="11.7109375" customWidth="1"/>
    <col min="3336" max="3336" width="10.42578125" customWidth="1"/>
    <col min="3337" max="3337" width="10.5703125" customWidth="1"/>
    <col min="3338" max="3338" width="11.5703125" customWidth="1"/>
    <col min="3339" max="3340" width="11.7109375" customWidth="1"/>
    <col min="3341" max="3341" width="10.5703125" customWidth="1"/>
    <col min="3342" max="3343" width="13.7109375" customWidth="1"/>
    <col min="3344" max="3345" width="8.5703125" customWidth="1"/>
    <col min="3586" max="3586" width="19.5703125" customWidth="1"/>
    <col min="3587" max="3587" width="9.7109375" customWidth="1"/>
    <col min="3588" max="3589" width="11.7109375" customWidth="1"/>
    <col min="3590" max="3590" width="10.5703125" customWidth="1"/>
    <col min="3591" max="3591" width="11.7109375" customWidth="1"/>
    <col min="3592" max="3592" width="10.42578125" customWidth="1"/>
    <col min="3593" max="3593" width="10.5703125" customWidth="1"/>
    <col min="3594" max="3594" width="11.5703125" customWidth="1"/>
    <col min="3595" max="3596" width="11.7109375" customWidth="1"/>
    <col min="3597" max="3597" width="10.5703125" customWidth="1"/>
    <col min="3598" max="3599" width="13.7109375" customWidth="1"/>
    <col min="3600" max="3601" width="8.5703125" customWidth="1"/>
    <col min="3842" max="3842" width="19.5703125" customWidth="1"/>
    <col min="3843" max="3843" width="9.7109375" customWidth="1"/>
    <col min="3844" max="3845" width="11.7109375" customWidth="1"/>
    <col min="3846" max="3846" width="10.5703125" customWidth="1"/>
    <col min="3847" max="3847" width="11.7109375" customWidth="1"/>
    <col min="3848" max="3848" width="10.42578125" customWidth="1"/>
    <col min="3849" max="3849" width="10.5703125" customWidth="1"/>
    <col min="3850" max="3850" width="11.5703125" customWidth="1"/>
    <col min="3851" max="3852" width="11.7109375" customWidth="1"/>
    <col min="3853" max="3853" width="10.5703125" customWidth="1"/>
    <col min="3854" max="3855" width="13.7109375" customWidth="1"/>
    <col min="3856" max="3857" width="8.5703125" customWidth="1"/>
    <col min="4098" max="4098" width="19.5703125" customWidth="1"/>
    <col min="4099" max="4099" width="9.7109375" customWidth="1"/>
    <col min="4100" max="4101" width="11.7109375" customWidth="1"/>
    <col min="4102" max="4102" width="10.5703125" customWidth="1"/>
    <col min="4103" max="4103" width="11.7109375" customWidth="1"/>
    <col min="4104" max="4104" width="10.42578125" customWidth="1"/>
    <col min="4105" max="4105" width="10.5703125" customWidth="1"/>
    <col min="4106" max="4106" width="11.5703125" customWidth="1"/>
    <col min="4107" max="4108" width="11.7109375" customWidth="1"/>
    <col min="4109" max="4109" width="10.5703125" customWidth="1"/>
    <col min="4110" max="4111" width="13.7109375" customWidth="1"/>
    <col min="4112" max="4113" width="8.5703125" customWidth="1"/>
    <col min="4354" max="4354" width="19.5703125" customWidth="1"/>
    <col min="4355" max="4355" width="9.7109375" customWidth="1"/>
    <col min="4356" max="4357" width="11.7109375" customWidth="1"/>
    <col min="4358" max="4358" width="10.5703125" customWidth="1"/>
    <col min="4359" max="4359" width="11.7109375" customWidth="1"/>
    <col min="4360" max="4360" width="10.42578125" customWidth="1"/>
    <col min="4361" max="4361" width="10.5703125" customWidth="1"/>
    <col min="4362" max="4362" width="11.5703125" customWidth="1"/>
    <col min="4363" max="4364" width="11.7109375" customWidth="1"/>
    <col min="4365" max="4365" width="10.5703125" customWidth="1"/>
    <col min="4366" max="4367" width="13.7109375" customWidth="1"/>
    <col min="4368" max="4369" width="8.5703125" customWidth="1"/>
    <col min="4610" max="4610" width="19.5703125" customWidth="1"/>
    <col min="4611" max="4611" width="9.7109375" customWidth="1"/>
    <col min="4612" max="4613" width="11.7109375" customWidth="1"/>
    <col min="4614" max="4614" width="10.5703125" customWidth="1"/>
    <col min="4615" max="4615" width="11.7109375" customWidth="1"/>
    <col min="4616" max="4616" width="10.42578125" customWidth="1"/>
    <col min="4617" max="4617" width="10.5703125" customWidth="1"/>
    <col min="4618" max="4618" width="11.5703125" customWidth="1"/>
    <col min="4619" max="4620" width="11.7109375" customWidth="1"/>
    <col min="4621" max="4621" width="10.5703125" customWidth="1"/>
    <col min="4622" max="4623" width="13.7109375" customWidth="1"/>
    <col min="4624" max="4625" width="8.5703125" customWidth="1"/>
    <col min="4866" max="4866" width="19.5703125" customWidth="1"/>
    <col min="4867" max="4867" width="9.7109375" customWidth="1"/>
    <col min="4868" max="4869" width="11.7109375" customWidth="1"/>
    <col min="4870" max="4870" width="10.5703125" customWidth="1"/>
    <col min="4871" max="4871" width="11.7109375" customWidth="1"/>
    <col min="4872" max="4872" width="10.42578125" customWidth="1"/>
    <col min="4873" max="4873" width="10.5703125" customWidth="1"/>
    <col min="4874" max="4874" width="11.5703125" customWidth="1"/>
    <col min="4875" max="4876" width="11.7109375" customWidth="1"/>
    <col min="4877" max="4877" width="10.5703125" customWidth="1"/>
    <col min="4878" max="4879" width="13.7109375" customWidth="1"/>
    <col min="4880" max="4881" width="8.5703125" customWidth="1"/>
    <col min="5122" max="5122" width="19.5703125" customWidth="1"/>
    <col min="5123" max="5123" width="9.7109375" customWidth="1"/>
    <col min="5124" max="5125" width="11.7109375" customWidth="1"/>
    <col min="5126" max="5126" width="10.5703125" customWidth="1"/>
    <col min="5127" max="5127" width="11.7109375" customWidth="1"/>
    <col min="5128" max="5128" width="10.42578125" customWidth="1"/>
    <col min="5129" max="5129" width="10.5703125" customWidth="1"/>
    <col min="5130" max="5130" width="11.5703125" customWidth="1"/>
    <col min="5131" max="5132" width="11.7109375" customWidth="1"/>
    <col min="5133" max="5133" width="10.5703125" customWidth="1"/>
    <col min="5134" max="5135" width="13.7109375" customWidth="1"/>
    <col min="5136" max="5137" width="8.5703125" customWidth="1"/>
    <col min="5378" max="5378" width="19.5703125" customWidth="1"/>
    <col min="5379" max="5379" width="9.7109375" customWidth="1"/>
    <col min="5380" max="5381" width="11.7109375" customWidth="1"/>
    <col min="5382" max="5382" width="10.5703125" customWidth="1"/>
    <col min="5383" max="5383" width="11.7109375" customWidth="1"/>
    <col min="5384" max="5384" width="10.42578125" customWidth="1"/>
    <col min="5385" max="5385" width="10.5703125" customWidth="1"/>
    <col min="5386" max="5386" width="11.5703125" customWidth="1"/>
    <col min="5387" max="5388" width="11.7109375" customWidth="1"/>
    <col min="5389" max="5389" width="10.5703125" customWidth="1"/>
    <col min="5390" max="5391" width="13.7109375" customWidth="1"/>
    <col min="5392" max="5393" width="8.5703125" customWidth="1"/>
    <col min="5634" max="5634" width="19.5703125" customWidth="1"/>
    <col min="5635" max="5635" width="9.7109375" customWidth="1"/>
    <col min="5636" max="5637" width="11.7109375" customWidth="1"/>
    <col min="5638" max="5638" width="10.5703125" customWidth="1"/>
    <col min="5639" max="5639" width="11.7109375" customWidth="1"/>
    <col min="5640" max="5640" width="10.42578125" customWidth="1"/>
    <col min="5641" max="5641" width="10.5703125" customWidth="1"/>
    <col min="5642" max="5642" width="11.5703125" customWidth="1"/>
    <col min="5643" max="5644" width="11.7109375" customWidth="1"/>
    <col min="5645" max="5645" width="10.5703125" customWidth="1"/>
    <col min="5646" max="5647" width="13.7109375" customWidth="1"/>
    <col min="5648" max="5649" width="8.5703125" customWidth="1"/>
    <col min="5890" max="5890" width="19.5703125" customWidth="1"/>
    <col min="5891" max="5891" width="9.7109375" customWidth="1"/>
    <col min="5892" max="5893" width="11.7109375" customWidth="1"/>
    <col min="5894" max="5894" width="10.5703125" customWidth="1"/>
    <col min="5895" max="5895" width="11.7109375" customWidth="1"/>
    <col min="5896" max="5896" width="10.42578125" customWidth="1"/>
    <col min="5897" max="5897" width="10.5703125" customWidth="1"/>
    <col min="5898" max="5898" width="11.5703125" customWidth="1"/>
    <col min="5899" max="5900" width="11.7109375" customWidth="1"/>
    <col min="5901" max="5901" width="10.5703125" customWidth="1"/>
    <col min="5902" max="5903" width="13.7109375" customWidth="1"/>
    <col min="5904" max="5905" width="8.5703125" customWidth="1"/>
    <col min="6146" max="6146" width="19.5703125" customWidth="1"/>
    <col min="6147" max="6147" width="9.7109375" customWidth="1"/>
    <col min="6148" max="6149" width="11.7109375" customWidth="1"/>
    <col min="6150" max="6150" width="10.5703125" customWidth="1"/>
    <col min="6151" max="6151" width="11.7109375" customWidth="1"/>
    <col min="6152" max="6152" width="10.42578125" customWidth="1"/>
    <col min="6153" max="6153" width="10.5703125" customWidth="1"/>
    <col min="6154" max="6154" width="11.5703125" customWidth="1"/>
    <col min="6155" max="6156" width="11.7109375" customWidth="1"/>
    <col min="6157" max="6157" width="10.5703125" customWidth="1"/>
    <col min="6158" max="6159" width="13.7109375" customWidth="1"/>
    <col min="6160" max="6161" width="8.5703125" customWidth="1"/>
    <col min="6402" max="6402" width="19.5703125" customWidth="1"/>
    <col min="6403" max="6403" width="9.7109375" customWidth="1"/>
    <col min="6404" max="6405" width="11.7109375" customWidth="1"/>
    <col min="6406" max="6406" width="10.5703125" customWidth="1"/>
    <col min="6407" max="6407" width="11.7109375" customWidth="1"/>
    <col min="6408" max="6408" width="10.42578125" customWidth="1"/>
    <col min="6409" max="6409" width="10.5703125" customWidth="1"/>
    <col min="6410" max="6410" width="11.5703125" customWidth="1"/>
    <col min="6411" max="6412" width="11.7109375" customWidth="1"/>
    <col min="6413" max="6413" width="10.5703125" customWidth="1"/>
    <col min="6414" max="6415" width="13.7109375" customWidth="1"/>
    <col min="6416" max="6417" width="8.5703125" customWidth="1"/>
    <col min="6658" max="6658" width="19.5703125" customWidth="1"/>
    <col min="6659" max="6659" width="9.7109375" customWidth="1"/>
    <col min="6660" max="6661" width="11.7109375" customWidth="1"/>
    <col min="6662" max="6662" width="10.5703125" customWidth="1"/>
    <col min="6663" max="6663" width="11.7109375" customWidth="1"/>
    <col min="6664" max="6664" width="10.42578125" customWidth="1"/>
    <col min="6665" max="6665" width="10.5703125" customWidth="1"/>
    <col min="6666" max="6666" width="11.5703125" customWidth="1"/>
    <col min="6667" max="6668" width="11.7109375" customWidth="1"/>
    <col min="6669" max="6669" width="10.5703125" customWidth="1"/>
    <col min="6670" max="6671" width="13.7109375" customWidth="1"/>
    <col min="6672" max="6673" width="8.5703125" customWidth="1"/>
    <col min="6914" max="6914" width="19.5703125" customWidth="1"/>
    <col min="6915" max="6915" width="9.7109375" customWidth="1"/>
    <col min="6916" max="6917" width="11.7109375" customWidth="1"/>
    <col min="6918" max="6918" width="10.5703125" customWidth="1"/>
    <col min="6919" max="6919" width="11.7109375" customWidth="1"/>
    <col min="6920" max="6920" width="10.42578125" customWidth="1"/>
    <col min="6921" max="6921" width="10.5703125" customWidth="1"/>
    <col min="6922" max="6922" width="11.5703125" customWidth="1"/>
    <col min="6923" max="6924" width="11.7109375" customWidth="1"/>
    <col min="6925" max="6925" width="10.5703125" customWidth="1"/>
    <col min="6926" max="6927" width="13.7109375" customWidth="1"/>
    <col min="6928" max="6929" width="8.5703125" customWidth="1"/>
    <col min="7170" max="7170" width="19.5703125" customWidth="1"/>
    <col min="7171" max="7171" width="9.7109375" customWidth="1"/>
    <col min="7172" max="7173" width="11.7109375" customWidth="1"/>
    <col min="7174" max="7174" width="10.5703125" customWidth="1"/>
    <col min="7175" max="7175" width="11.7109375" customWidth="1"/>
    <col min="7176" max="7176" width="10.42578125" customWidth="1"/>
    <col min="7177" max="7177" width="10.5703125" customWidth="1"/>
    <col min="7178" max="7178" width="11.5703125" customWidth="1"/>
    <col min="7179" max="7180" width="11.7109375" customWidth="1"/>
    <col min="7181" max="7181" width="10.5703125" customWidth="1"/>
    <col min="7182" max="7183" width="13.7109375" customWidth="1"/>
    <col min="7184" max="7185" width="8.5703125" customWidth="1"/>
    <col min="7426" max="7426" width="19.5703125" customWidth="1"/>
    <col min="7427" max="7427" width="9.7109375" customWidth="1"/>
    <col min="7428" max="7429" width="11.7109375" customWidth="1"/>
    <col min="7430" max="7430" width="10.5703125" customWidth="1"/>
    <col min="7431" max="7431" width="11.7109375" customWidth="1"/>
    <col min="7432" max="7432" width="10.42578125" customWidth="1"/>
    <col min="7433" max="7433" width="10.5703125" customWidth="1"/>
    <col min="7434" max="7434" width="11.5703125" customWidth="1"/>
    <col min="7435" max="7436" width="11.7109375" customWidth="1"/>
    <col min="7437" max="7437" width="10.5703125" customWidth="1"/>
    <col min="7438" max="7439" width="13.7109375" customWidth="1"/>
    <col min="7440" max="7441" width="8.5703125" customWidth="1"/>
    <col min="7682" max="7682" width="19.5703125" customWidth="1"/>
    <col min="7683" max="7683" width="9.7109375" customWidth="1"/>
    <col min="7684" max="7685" width="11.7109375" customWidth="1"/>
    <col min="7686" max="7686" width="10.5703125" customWidth="1"/>
    <col min="7687" max="7687" width="11.7109375" customWidth="1"/>
    <col min="7688" max="7688" width="10.42578125" customWidth="1"/>
    <col min="7689" max="7689" width="10.5703125" customWidth="1"/>
    <col min="7690" max="7690" width="11.5703125" customWidth="1"/>
    <col min="7691" max="7692" width="11.7109375" customWidth="1"/>
    <col min="7693" max="7693" width="10.5703125" customWidth="1"/>
    <col min="7694" max="7695" width="13.7109375" customWidth="1"/>
    <col min="7696" max="7697" width="8.5703125" customWidth="1"/>
    <col min="7938" max="7938" width="19.5703125" customWidth="1"/>
    <col min="7939" max="7939" width="9.7109375" customWidth="1"/>
    <col min="7940" max="7941" width="11.7109375" customWidth="1"/>
    <col min="7942" max="7942" width="10.5703125" customWidth="1"/>
    <col min="7943" max="7943" width="11.7109375" customWidth="1"/>
    <col min="7944" max="7944" width="10.42578125" customWidth="1"/>
    <col min="7945" max="7945" width="10.5703125" customWidth="1"/>
    <col min="7946" max="7946" width="11.5703125" customWidth="1"/>
    <col min="7947" max="7948" width="11.7109375" customWidth="1"/>
    <col min="7949" max="7949" width="10.5703125" customWidth="1"/>
    <col min="7950" max="7951" width="13.7109375" customWidth="1"/>
    <col min="7952" max="7953" width="8.5703125" customWidth="1"/>
    <col min="8194" max="8194" width="19.5703125" customWidth="1"/>
    <col min="8195" max="8195" width="9.7109375" customWidth="1"/>
    <col min="8196" max="8197" width="11.7109375" customWidth="1"/>
    <col min="8198" max="8198" width="10.5703125" customWidth="1"/>
    <col min="8199" max="8199" width="11.7109375" customWidth="1"/>
    <col min="8200" max="8200" width="10.42578125" customWidth="1"/>
    <col min="8201" max="8201" width="10.5703125" customWidth="1"/>
    <col min="8202" max="8202" width="11.5703125" customWidth="1"/>
    <col min="8203" max="8204" width="11.7109375" customWidth="1"/>
    <col min="8205" max="8205" width="10.5703125" customWidth="1"/>
    <col min="8206" max="8207" width="13.7109375" customWidth="1"/>
    <col min="8208" max="8209" width="8.5703125" customWidth="1"/>
    <col min="8450" max="8450" width="19.5703125" customWidth="1"/>
    <col min="8451" max="8451" width="9.7109375" customWidth="1"/>
    <col min="8452" max="8453" width="11.7109375" customWidth="1"/>
    <col min="8454" max="8454" width="10.5703125" customWidth="1"/>
    <col min="8455" max="8455" width="11.7109375" customWidth="1"/>
    <col min="8456" max="8456" width="10.42578125" customWidth="1"/>
    <col min="8457" max="8457" width="10.5703125" customWidth="1"/>
    <col min="8458" max="8458" width="11.5703125" customWidth="1"/>
    <col min="8459" max="8460" width="11.7109375" customWidth="1"/>
    <col min="8461" max="8461" width="10.5703125" customWidth="1"/>
    <col min="8462" max="8463" width="13.7109375" customWidth="1"/>
    <col min="8464" max="8465" width="8.5703125" customWidth="1"/>
    <col min="8706" max="8706" width="19.5703125" customWidth="1"/>
    <col min="8707" max="8707" width="9.7109375" customWidth="1"/>
    <col min="8708" max="8709" width="11.7109375" customWidth="1"/>
    <col min="8710" max="8710" width="10.5703125" customWidth="1"/>
    <col min="8711" max="8711" width="11.7109375" customWidth="1"/>
    <col min="8712" max="8712" width="10.42578125" customWidth="1"/>
    <col min="8713" max="8713" width="10.5703125" customWidth="1"/>
    <col min="8714" max="8714" width="11.5703125" customWidth="1"/>
    <col min="8715" max="8716" width="11.7109375" customWidth="1"/>
    <col min="8717" max="8717" width="10.5703125" customWidth="1"/>
    <col min="8718" max="8719" width="13.7109375" customWidth="1"/>
    <col min="8720" max="8721" width="8.5703125" customWidth="1"/>
    <col min="8962" max="8962" width="19.5703125" customWidth="1"/>
    <col min="8963" max="8963" width="9.7109375" customWidth="1"/>
    <col min="8964" max="8965" width="11.7109375" customWidth="1"/>
    <col min="8966" max="8966" width="10.5703125" customWidth="1"/>
    <col min="8967" max="8967" width="11.7109375" customWidth="1"/>
    <col min="8968" max="8968" width="10.42578125" customWidth="1"/>
    <col min="8969" max="8969" width="10.5703125" customWidth="1"/>
    <col min="8970" max="8970" width="11.5703125" customWidth="1"/>
    <col min="8971" max="8972" width="11.7109375" customWidth="1"/>
    <col min="8973" max="8973" width="10.5703125" customWidth="1"/>
    <col min="8974" max="8975" width="13.7109375" customWidth="1"/>
    <col min="8976" max="8977" width="8.5703125" customWidth="1"/>
    <col min="9218" max="9218" width="19.5703125" customWidth="1"/>
    <col min="9219" max="9219" width="9.7109375" customWidth="1"/>
    <col min="9220" max="9221" width="11.7109375" customWidth="1"/>
    <col min="9222" max="9222" width="10.5703125" customWidth="1"/>
    <col min="9223" max="9223" width="11.7109375" customWidth="1"/>
    <col min="9224" max="9224" width="10.42578125" customWidth="1"/>
    <col min="9225" max="9225" width="10.5703125" customWidth="1"/>
    <col min="9226" max="9226" width="11.5703125" customWidth="1"/>
    <col min="9227" max="9228" width="11.7109375" customWidth="1"/>
    <col min="9229" max="9229" width="10.5703125" customWidth="1"/>
    <col min="9230" max="9231" width="13.7109375" customWidth="1"/>
    <col min="9232" max="9233" width="8.5703125" customWidth="1"/>
    <col min="9474" max="9474" width="19.5703125" customWidth="1"/>
    <col min="9475" max="9475" width="9.7109375" customWidth="1"/>
    <col min="9476" max="9477" width="11.7109375" customWidth="1"/>
    <col min="9478" max="9478" width="10.5703125" customWidth="1"/>
    <col min="9479" max="9479" width="11.7109375" customWidth="1"/>
    <col min="9480" max="9480" width="10.42578125" customWidth="1"/>
    <col min="9481" max="9481" width="10.5703125" customWidth="1"/>
    <col min="9482" max="9482" width="11.5703125" customWidth="1"/>
    <col min="9483" max="9484" width="11.7109375" customWidth="1"/>
    <col min="9485" max="9485" width="10.5703125" customWidth="1"/>
    <col min="9486" max="9487" width="13.7109375" customWidth="1"/>
    <col min="9488" max="9489" width="8.5703125" customWidth="1"/>
    <col min="9730" max="9730" width="19.5703125" customWidth="1"/>
    <col min="9731" max="9731" width="9.7109375" customWidth="1"/>
    <col min="9732" max="9733" width="11.7109375" customWidth="1"/>
    <col min="9734" max="9734" width="10.5703125" customWidth="1"/>
    <col min="9735" max="9735" width="11.7109375" customWidth="1"/>
    <col min="9736" max="9736" width="10.42578125" customWidth="1"/>
    <col min="9737" max="9737" width="10.5703125" customWidth="1"/>
    <col min="9738" max="9738" width="11.5703125" customWidth="1"/>
    <col min="9739" max="9740" width="11.7109375" customWidth="1"/>
    <col min="9741" max="9741" width="10.5703125" customWidth="1"/>
    <col min="9742" max="9743" width="13.7109375" customWidth="1"/>
    <col min="9744" max="9745" width="8.5703125" customWidth="1"/>
    <col min="9986" max="9986" width="19.5703125" customWidth="1"/>
    <col min="9987" max="9987" width="9.7109375" customWidth="1"/>
    <col min="9988" max="9989" width="11.7109375" customWidth="1"/>
    <col min="9990" max="9990" width="10.5703125" customWidth="1"/>
    <col min="9991" max="9991" width="11.7109375" customWidth="1"/>
    <col min="9992" max="9992" width="10.42578125" customWidth="1"/>
    <col min="9993" max="9993" width="10.5703125" customWidth="1"/>
    <col min="9994" max="9994" width="11.5703125" customWidth="1"/>
    <col min="9995" max="9996" width="11.7109375" customWidth="1"/>
    <col min="9997" max="9997" width="10.5703125" customWidth="1"/>
    <col min="9998" max="9999" width="13.7109375" customWidth="1"/>
    <col min="10000" max="10001" width="8.5703125" customWidth="1"/>
    <col min="10242" max="10242" width="19.5703125" customWidth="1"/>
    <col min="10243" max="10243" width="9.7109375" customWidth="1"/>
    <col min="10244" max="10245" width="11.7109375" customWidth="1"/>
    <col min="10246" max="10246" width="10.5703125" customWidth="1"/>
    <col min="10247" max="10247" width="11.7109375" customWidth="1"/>
    <col min="10248" max="10248" width="10.42578125" customWidth="1"/>
    <col min="10249" max="10249" width="10.5703125" customWidth="1"/>
    <col min="10250" max="10250" width="11.5703125" customWidth="1"/>
    <col min="10251" max="10252" width="11.7109375" customWidth="1"/>
    <col min="10253" max="10253" width="10.5703125" customWidth="1"/>
    <col min="10254" max="10255" width="13.7109375" customWidth="1"/>
    <col min="10256" max="10257" width="8.5703125" customWidth="1"/>
    <col min="10498" max="10498" width="19.5703125" customWidth="1"/>
    <col min="10499" max="10499" width="9.7109375" customWidth="1"/>
    <col min="10500" max="10501" width="11.7109375" customWidth="1"/>
    <col min="10502" max="10502" width="10.5703125" customWidth="1"/>
    <col min="10503" max="10503" width="11.7109375" customWidth="1"/>
    <col min="10504" max="10504" width="10.42578125" customWidth="1"/>
    <col min="10505" max="10505" width="10.5703125" customWidth="1"/>
    <col min="10506" max="10506" width="11.5703125" customWidth="1"/>
    <col min="10507" max="10508" width="11.7109375" customWidth="1"/>
    <col min="10509" max="10509" width="10.5703125" customWidth="1"/>
    <col min="10510" max="10511" width="13.7109375" customWidth="1"/>
    <col min="10512" max="10513" width="8.5703125" customWidth="1"/>
    <col min="10754" max="10754" width="19.5703125" customWidth="1"/>
    <col min="10755" max="10755" width="9.7109375" customWidth="1"/>
    <col min="10756" max="10757" width="11.7109375" customWidth="1"/>
    <col min="10758" max="10758" width="10.5703125" customWidth="1"/>
    <col min="10759" max="10759" width="11.7109375" customWidth="1"/>
    <col min="10760" max="10760" width="10.42578125" customWidth="1"/>
    <col min="10761" max="10761" width="10.5703125" customWidth="1"/>
    <col min="10762" max="10762" width="11.5703125" customWidth="1"/>
    <col min="10763" max="10764" width="11.7109375" customWidth="1"/>
    <col min="10765" max="10765" width="10.5703125" customWidth="1"/>
    <col min="10766" max="10767" width="13.7109375" customWidth="1"/>
    <col min="10768" max="10769" width="8.5703125" customWidth="1"/>
    <col min="11010" max="11010" width="19.5703125" customWidth="1"/>
    <col min="11011" max="11011" width="9.7109375" customWidth="1"/>
    <col min="11012" max="11013" width="11.7109375" customWidth="1"/>
    <col min="11014" max="11014" width="10.5703125" customWidth="1"/>
    <col min="11015" max="11015" width="11.7109375" customWidth="1"/>
    <col min="11016" max="11016" width="10.42578125" customWidth="1"/>
    <col min="11017" max="11017" width="10.5703125" customWidth="1"/>
    <col min="11018" max="11018" width="11.5703125" customWidth="1"/>
    <col min="11019" max="11020" width="11.7109375" customWidth="1"/>
    <col min="11021" max="11021" width="10.5703125" customWidth="1"/>
    <col min="11022" max="11023" width="13.7109375" customWidth="1"/>
    <col min="11024" max="11025" width="8.5703125" customWidth="1"/>
    <col min="11266" max="11266" width="19.5703125" customWidth="1"/>
    <col min="11267" max="11267" width="9.7109375" customWidth="1"/>
    <col min="11268" max="11269" width="11.7109375" customWidth="1"/>
    <col min="11270" max="11270" width="10.5703125" customWidth="1"/>
    <col min="11271" max="11271" width="11.7109375" customWidth="1"/>
    <col min="11272" max="11272" width="10.42578125" customWidth="1"/>
    <col min="11273" max="11273" width="10.5703125" customWidth="1"/>
    <col min="11274" max="11274" width="11.5703125" customWidth="1"/>
    <col min="11275" max="11276" width="11.7109375" customWidth="1"/>
    <col min="11277" max="11277" width="10.5703125" customWidth="1"/>
    <col min="11278" max="11279" width="13.7109375" customWidth="1"/>
    <col min="11280" max="11281" width="8.5703125" customWidth="1"/>
    <col min="11522" max="11522" width="19.5703125" customWidth="1"/>
    <col min="11523" max="11523" width="9.7109375" customWidth="1"/>
    <col min="11524" max="11525" width="11.7109375" customWidth="1"/>
    <col min="11526" max="11526" width="10.5703125" customWidth="1"/>
    <col min="11527" max="11527" width="11.7109375" customWidth="1"/>
    <col min="11528" max="11528" width="10.42578125" customWidth="1"/>
    <col min="11529" max="11529" width="10.5703125" customWidth="1"/>
    <col min="11530" max="11530" width="11.5703125" customWidth="1"/>
    <col min="11531" max="11532" width="11.7109375" customWidth="1"/>
    <col min="11533" max="11533" width="10.5703125" customWidth="1"/>
    <col min="11534" max="11535" width="13.7109375" customWidth="1"/>
    <col min="11536" max="11537" width="8.5703125" customWidth="1"/>
    <col min="11778" max="11778" width="19.5703125" customWidth="1"/>
    <col min="11779" max="11779" width="9.7109375" customWidth="1"/>
    <col min="11780" max="11781" width="11.7109375" customWidth="1"/>
    <col min="11782" max="11782" width="10.5703125" customWidth="1"/>
    <col min="11783" max="11783" width="11.7109375" customWidth="1"/>
    <col min="11784" max="11784" width="10.42578125" customWidth="1"/>
    <col min="11785" max="11785" width="10.5703125" customWidth="1"/>
    <col min="11786" max="11786" width="11.5703125" customWidth="1"/>
    <col min="11787" max="11788" width="11.7109375" customWidth="1"/>
    <col min="11789" max="11789" width="10.5703125" customWidth="1"/>
    <col min="11790" max="11791" width="13.7109375" customWidth="1"/>
    <col min="11792" max="11793" width="8.5703125" customWidth="1"/>
    <col min="12034" max="12034" width="19.5703125" customWidth="1"/>
    <col min="12035" max="12035" width="9.7109375" customWidth="1"/>
    <col min="12036" max="12037" width="11.7109375" customWidth="1"/>
    <col min="12038" max="12038" width="10.5703125" customWidth="1"/>
    <col min="12039" max="12039" width="11.7109375" customWidth="1"/>
    <col min="12040" max="12040" width="10.42578125" customWidth="1"/>
    <col min="12041" max="12041" width="10.5703125" customWidth="1"/>
    <col min="12042" max="12042" width="11.5703125" customWidth="1"/>
    <col min="12043" max="12044" width="11.7109375" customWidth="1"/>
    <col min="12045" max="12045" width="10.5703125" customWidth="1"/>
    <col min="12046" max="12047" width="13.7109375" customWidth="1"/>
    <col min="12048" max="12049" width="8.5703125" customWidth="1"/>
    <col min="12290" max="12290" width="19.5703125" customWidth="1"/>
    <col min="12291" max="12291" width="9.7109375" customWidth="1"/>
    <col min="12292" max="12293" width="11.7109375" customWidth="1"/>
    <col min="12294" max="12294" width="10.5703125" customWidth="1"/>
    <col min="12295" max="12295" width="11.7109375" customWidth="1"/>
    <col min="12296" max="12296" width="10.42578125" customWidth="1"/>
    <col min="12297" max="12297" width="10.5703125" customWidth="1"/>
    <col min="12298" max="12298" width="11.5703125" customWidth="1"/>
    <col min="12299" max="12300" width="11.7109375" customWidth="1"/>
    <col min="12301" max="12301" width="10.5703125" customWidth="1"/>
    <col min="12302" max="12303" width="13.7109375" customWidth="1"/>
    <col min="12304" max="12305" width="8.5703125" customWidth="1"/>
    <col min="12546" max="12546" width="19.5703125" customWidth="1"/>
    <col min="12547" max="12547" width="9.7109375" customWidth="1"/>
    <col min="12548" max="12549" width="11.7109375" customWidth="1"/>
    <col min="12550" max="12550" width="10.5703125" customWidth="1"/>
    <col min="12551" max="12551" width="11.7109375" customWidth="1"/>
    <col min="12552" max="12552" width="10.42578125" customWidth="1"/>
    <col min="12553" max="12553" width="10.5703125" customWidth="1"/>
    <col min="12554" max="12554" width="11.5703125" customWidth="1"/>
    <col min="12555" max="12556" width="11.7109375" customWidth="1"/>
    <col min="12557" max="12557" width="10.5703125" customWidth="1"/>
    <col min="12558" max="12559" width="13.7109375" customWidth="1"/>
    <col min="12560" max="12561" width="8.5703125" customWidth="1"/>
    <col min="12802" max="12802" width="19.5703125" customWidth="1"/>
    <col min="12803" max="12803" width="9.7109375" customWidth="1"/>
    <col min="12804" max="12805" width="11.7109375" customWidth="1"/>
    <col min="12806" max="12806" width="10.5703125" customWidth="1"/>
    <col min="12807" max="12807" width="11.7109375" customWidth="1"/>
    <col min="12808" max="12808" width="10.42578125" customWidth="1"/>
    <col min="12809" max="12809" width="10.5703125" customWidth="1"/>
    <col min="12810" max="12810" width="11.5703125" customWidth="1"/>
    <col min="12811" max="12812" width="11.7109375" customWidth="1"/>
    <col min="12813" max="12813" width="10.5703125" customWidth="1"/>
    <col min="12814" max="12815" width="13.7109375" customWidth="1"/>
    <col min="12816" max="12817" width="8.5703125" customWidth="1"/>
    <col min="13058" max="13058" width="19.5703125" customWidth="1"/>
    <col min="13059" max="13059" width="9.7109375" customWidth="1"/>
    <col min="13060" max="13061" width="11.7109375" customWidth="1"/>
    <col min="13062" max="13062" width="10.5703125" customWidth="1"/>
    <col min="13063" max="13063" width="11.7109375" customWidth="1"/>
    <col min="13064" max="13064" width="10.42578125" customWidth="1"/>
    <col min="13065" max="13065" width="10.5703125" customWidth="1"/>
    <col min="13066" max="13066" width="11.5703125" customWidth="1"/>
    <col min="13067" max="13068" width="11.7109375" customWidth="1"/>
    <col min="13069" max="13069" width="10.5703125" customWidth="1"/>
    <col min="13070" max="13071" width="13.7109375" customWidth="1"/>
    <col min="13072" max="13073" width="8.5703125" customWidth="1"/>
    <col min="13314" max="13314" width="19.5703125" customWidth="1"/>
    <col min="13315" max="13315" width="9.7109375" customWidth="1"/>
    <col min="13316" max="13317" width="11.7109375" customWidth="1"/>
    <col min="13318" max="13318" width="10.5703125" customWidth="1"/>
    <col min="13319" max="13319" width="11.7109375" customWidth="1"/>
    <col min="13320" max="13320" width="10.42578125" customWidth="1"/>
    <col min="13321" max="13321" width="10.5703125" customWidth="1"/>
    <col min="13322" max="13322" width="11.5703125" customWidth="1"/>
    <col min="13323" max="13324" width="11.7109375" customWidth="1"/>
    <col min="13325" max="13325" width="10.5703125" customWidth="1"/>
    <col min="13326" max="13327" width="13.7109375" customWidth="1"/>
    <col min="13328" max="13329" width="8.5703125" customWidth="1"/>
    <col min="13570" max="13570" width="19.5703125" customWidth="1"/>
    <col min="13571" max="13571" width="9.7109375" customWidth="1"/>
    <col min="13572" max="13573" width="11.7109375" customWidth="1"/>
    <col min="13574" max="13574" width="10.5703125" customWidth="1"/>
    <col min="13575" max="13575" width="11.7109375" customWidth="1"/>
    <col min="13576" max="13576" width="10.42578125" customWidth="1"/>
    <col min="13577" max="13577" width="10.5703125" customWidth="1"/>
    <col min="13578" max="13578" width="11.5703125" customWidth="1"/>
    <col min="13579" max="13580" width="11.7109375" customWidth="1"/>
    <col min="13581" max="13581" width="10.5703125" customWidth="1"/>
    <col min="13582" max="13583" width="13.7109375" customWidth="1"/>
    <col min="13584" max="13585" width="8.5703125" customWidth="1"/>
    <col min="13826" max="13826" width="19.5703125" customWidth="1"/>
    <col min="13827" max="13827" width="9.7109375" customWidth="1"/>
    <col min="13828" max="13829" width="11.7109375" customWidth="1"/>
    <col min="13830" max="13830" width="10.5703125" customWidth="1"/>
    <col min="13831" max="13831" width="11.7109375" customWidth="1"/>
    <col min="13832" max="13832" width="10.42578125" customWidth="1"/>
    <col min="13833" max="13833" width="10.5703125" customWidth="1"/>
    <col min="13834" max="13834" width="11.5703125" customWidth="1"/>
    <col min="13835" max="13836" width="11.7109375" customWidth="1"/>
    <col min="13837" max="13837" width="10.5703125" customWidth="1"/>
    <col min="13838" max="13839" width="13.7109375" customWidth="1"/>
    <col min="13840" max="13841" width="8.5703125" customWidth="1"/>
    <col min="14082" max="14082" width="19.5703125" customWidth="1"/>
    <col min="14083" max="14083" width="9.7109375" customWidth="1"/>
    <col min="14084" max="14085" width="11.7109375" customWidth="1"/>
    <col min="14086" max="14086" width="10.5703125" customWidth="1"/>
    <col min="14087" max="14087" width="11.7109375" customWidth="1"/>
    <col min="14088" max="14088" width="10.42578125" customWidth="1"/>
    <col min="14089" max="14089" width="10.5703125" customWidth="1"/>
    <col min="14090" max="14090" width="11.5703125" customWidth="1"/>
    <col min="14091" max="14092" width="11.7109375" customWidth="1"/>
    <col min="14093" max="14093" width="10.5703125" customWidth="1"/>
    <col min="14094" max="14095" width="13.7109375" customWidth="1"/>
    <col min="14096" max="14097" width="8.5703125" customWidth="1"/>
    <col min="14338" max="14338" width="19.5703125" customWidth="1"/>
    <col min="14339" max="14339" width="9.7109375" customWidth="1"/>
    <col min="14340" max="14341" width="11.7109375" customWidth="1"/>
    <col min="14342" max="14342" width="10.5703125" customWidth="1"/>
    <col min="14343" max="14343" width="11.7109375" customWidth="1"/>
    <col min="14344" max="14344" width="10.42578125" customWidth="1"/>
    <col min="14345" max="14345" width="10.5703125" customWidth="1"/>
    <col min="14346" max="14346" width="11.5703125" customWidth="1"/>
    <col min="14347" max="14348" width="11.7109375" customWidth="1"/>
    <col min="14349" max="14349" width="10.5703125" customWidth="1"/>
    <col min="14350" max="14351" width="13.7109375" customWidth="1"/>
    <col min="14352" max="14353" width="8.5703125" customWidth="1"/>
    <col min="14594" max="14594" width="19.5703125" customWidth="1"/>
    <col min="14595" max="14595" width="9.7109375" customWidth="1"/>
    <col min="14596" max="14597" width="11.7109375" customWidth="1"/>
    <col min="14598" max="14598" width="10.5703125" customWidth="1"/>
    <col min="14599" max="14599" width="11.7109375" customWidth="1"/>
    <col min="14600" max="14600" width="10.42578125" customWidth="1"/>
    <col min="14601" max="14601" width="10.5703125" customWidth="1"/>
    <col min="14602" max="14602" width="11.5703125" customWidth="1"/>
    <col min="14603" max="14604" width="11.7109375" customWidth="1"/>
    <col min="14605" max="14605" width="10.5703125" customWidth="1"/>
    <col min="14606" max="14607" width="13.7109375" customWidth="1"/>
    <col min="14608" max="14609" width="8.5703125" customWidth="1"/>
    <col min="14850" max="14850" width="19.5703125" customWidth="1"/>
    <col min="14851" max="14851" width="9.7109375" customWidth="1"/>
    <col min="14852" max="14853" width="11.7109375" customWidth="1"/>
    <col min="14854" max="14854" width="10.5703125" customWidth="1"/>
    <col min="14855" max="14855" width="11.7109375" customWidth="1"/>
    <col min="14856" max="14856" width="10.42578125" customWidth="1"/>
    <col min="14857" max="14857" width="10.5703125" customWidth="1"/>
    <col min="14858" max="14858" width="11.5703125" customWidth="1"/>
    <col min="14859" max="14860" width="11.7109375" customWidth="1"/>
    <col min="14861" max="14861" width="10.5703125" customWidth="1"/>
    <col min="14862" max="14863" width="13.7109375" customWidth="1"/>
    <col min="14864" max="14865" width="8.5703125" customWidth="1"/>
    <col min="15106" max="15106" width="19.5703125" customWidth="1"/>
    <col min="15107" max="15107" width="9.7109375" customWidth="1"/>
    <col min="15108" max="15109" width="11.7109375" customWidth="1"/>
    <col min="15110" max="15110" width="10.5703125" customWidth="1"/>
    <col min="15111" max="15111" width="11.7109375" customWidth="1"/>
    <col min="15112" max="15112" width="10.42578125" customWidth="1"/>
    <col min="15113" max="15113" width="10.5703125" customWidth="1"/>
    <col min="15114" max="15114" width="11.5703125" customWidth="1"/>
    <col min="15115" max="15116" width="11.7109375" customWidth="1"/>
    <col min="15117" max="15117" width="10.5703125" customWidth="1"/>
    <col min="15118" max="15119" width="13.7109375" customWidth="1"/>
    <col min="15120" max="15121" width="8.5703125" customWidth="1"/>
    <col min="15362" max="15362" width="19.5703125" customWidth="1"/>
    <col min="15363" max="15363" width="9.7109375" customWidth="1"/>
    <col min="15364" max="15365" width="11.7109375" customWidth="1"/>
    <col min="15366" max="15366" width="10.5703125" customWidth="1"/>
    <col min="15367" max="15367" width="11.7109375" customWidth="1"/>
    <col min="15368" max="15368" width="10.42578125" customWidth="1"/>
    <col min="15369" max="15369" width="10.5703125" customWidth="1"/>
    <col min="15370" max="15370" width="11.5703125" customWidth="1"/>
    <col min="15371" max="15372" width="11.7109375" customWidth="1"/>
    <col min="15373" max="15373" width="10.5703125" customWidth="1"/>
    <col min="15374" max="15375" width="13.7109375" customWidth="1"/>
    <col min="15376" max="15377" width="8.5703125" customWidth="1"/>
    <col min="15618" max="15618" width="19.5703125" customWidth="1"/>
    <col min="15619" max="15619" width="9.7109375" customWidth="1"/>
    <col min="15620" max="15621" width="11.7109375" customWidth="1"/>
    <col min="15622" max="15622" width="10.5703125" customWidth="1"/>
    <col min="15623" max="15623" width="11.7109375" customWidth="1"/>
    <col min="15624" max="15624" width="10.42578125" customWidth="1"/>
    <col min="15625" max="15625" width="10.5703125" customWidth="1"/>
    <col min="15626" max="15626" width="11.5703125" customWidth="1"/>
    <col min="15627" max="15628" width="11.7109375" customWidth="1"/>
    <col min="15629" max="15629" width="10.5703125" customWidth="1"/>
    <col min="15630" max="15631" width="13.7109375" customWidth="1"/>
    <col min="15632" max="15633" width="8.5703125" customWidth="1"/>
    <col min="15874" max="15874" width="19.5703125" customWidth="1"/>
    <col min="15875" max="15875" width="9.7109375" customWidth="1"/>
    <col min="15876" max="15877" width="11.7109375" customWidth="1"/>
    <col min="15878" max="15878" width="10.5703125" customWidth="1"/>
    <col min="15879" max="15879" width="11.7109375" customWidth="1"/>
    <col min="15880" max="15880" width="10.42578125" customWidth="1"/>
    <col min="15881" max="15881" width="10.5703125" customWidth="1"/>
    <col min="15882" max="15882" width="11.5703125" customWidth="1"/>
    <col min="15883" max="15884" width="11.7109375" customWidth="1"/>
    <col min="15885" max="15885" width="10.5703125" customWidth="1"/>
    <col min="15886" max="15887" width="13.7109375" customWidth="1"/>
    <col min="15888" max="15889" width="8.5703125" customWidth="1"/>
    <col min="16130" max="16130" width="19.5703125" customWidth="1"/>
    <col min="16131" max="16131" width="9.7109375" customWidth="1"/>
    <col min="16132" max="16133" width="11.7109375" customWidth="1"/>
    <col min="16134" max="16134" width="10.5703125" customWidth="1"/>
    <col min="16135" max="16135" width="11.7109375" customWidth="1"/>
    <col min="16136" max="16136" width="10.42578125" customWidth="1"/>
    <col min="16137" max="16137" width="10.5703125" customWidth="1"/>
    <col min="16138" max="16138" width="11.5703125" customWidth="1"/>
    <col min="16139" max="16140" width="11.7109375" customWidth="1"/>
    <col min="16141" max="16141" width="10.5703125" customWidth="1"/>
    <col min="16142" max="16143" width="13.7109375" customWidth="1"/>
    <col min="16144" max="16145" width="8.5703125" customWidth="1"/>
  </cols>
  <sheetData>
    <row r="1" spans="1:16" ht="6" customHeight="1" thickBot="1" x14ac:dyDescent="0.3"/>
    <row r="2" spans="1:16" ht="17.25" customHeight="1" thickBot="1" x14ac:dyDescent="0.35">
      <c r="A2" s="25"/>
      <c r="B2" s="26"/>
      <c r="C2" s="26"/>
      <c r="D2" s="27"/>
      <c r="E2" s="27"/>
      <c r="F2" s="27"/>
      <c r="G2" s="189" t="s">
        <v>0</v>
      </c>
      <c r="H2" s="190"/>
      <c r="I2" s="190"/>
      <c r="J2" s="190"/>
      <c r="K2" s="190"/>
      <c r="L2" s="190"/>
      <c r="M2" s="190"/>
      <c r="N2" s="190"/>
      <c r="O2" s="191"/>
    </row>
    <row r="3" spans="1:16" ht="18.75" customHeight="1" x14ac:dyDescent="0.25">
      <c r="A3" s="28"/>
      <c r="E3" s="1"/>
      <c r="G3" s="29" t="s">
        <v>160</v>
      </c>
      <c r="H3" s="1"/>
      <c r="I3" s="1"/>
      <c r="J3" s="30"/>
      <c r="M3" s="1" t="s">
        <v>1</v>
      </c>
      <c r="N3" s="1"/>
      <c r="O3" s="31"/>
    </row>
    <row r="4" spans="1:16" ht="18.75" customHeight="1" thickBot="1" x14ac:dyDescent="0.3">
      <c r="A4" s="32"/>
      <c r="B4" s="33"/>
      <c r="C4" s="33"/>
      <c r="D4" s="33"/>
      <c r="E4" s="33"/>
      <c r="F4" s="33"/>
      <c r="G4" s="34" t="s">
        <v>159</v>
      </c>
      <c r="H4" s="33"/>
      <c r="I4" s="33"/>
      <c r="J4" s="33"/>
      <c r="K4" s="33"/>
      <c r="L4" s="33"/>
      <c r="M4" s="33" t="s">
        <v>2</v>
      </c>
      <c r="N4" s="33"/>
      <c r="O4" s="35"/>
    </row>
    <row r="5" spans="1:16" ht="15" customHeight="1" thickBot="1" x14ac:dyDescent="0.3">
      <c r="A5" s="192" t="s">
        <v>3</v>
      </c>
      <c r="B5" s="193"/>
      <c r="C5" s="193"/>
      <c r="D5" s="193"/>
      <c r="E5" s="193"/>
      <c r="F5" s="193"/>
      <c r="G5" s="193"/>
      <c r="H5" s="193"/>
      <c r="I5" s="193"/>
      <c r="J5" s="193"/>
      <c r="K5" s="193"/>
      <c r="L5" s="193"/>
      <c r="M5" s="194" t="s">
        <v>4</v>
      </c>
      <c r="N5" s="195"/>
      <c r="O5" s="36" t="s">
        <v>5</v>
      </c>
    </row>
    <row r="6" spans="1:16" ht="15" customHeight="1" thickBot="1" x14ac:dyDescent="0.3">
      <c r="A6" s="196" t="s">
        <v>6</v>
      </c>
      <c r="B6" s="37" t="s">
        <v>7</v>
      </c>
      <c r="C6" s="198" t="s">
        <v>8</v>
      </c>
      <c r="D6" s="199"/>
      <c r="E6" s="38" t="s">
        <v>9</v>
      </c>
      <c r="F6" s="39"/>
      <c r="G6" s="40" t="s">
        <v>10</v>
      </c>
      <c r="H6" s="37" t="s">
        <v>11</v>
      </c>
      <c r="I6" s="184" t="s">
        <v>157</v>
      </c>
      <c r="J6" s="40" t="s">
        <v>12</v>
      </c>
      <c r="K6" s="40" t="s">
        <v>13</v>
      </c>
      <c r="L6" s="37" t="s">
        <v>7</v>
      </c>
      <c r="M6" s="187" t="s">
        <v>14</v>
      </c>
      <c r="N6" s="188"/>
      <c r="O6" s="41">
        <f>C8*15%</f>
        <v>0</v>
      </c>
    </row>
    <row r="7" spans="1:16" ht="15" customHeight="1" thickBot="1" x14ac:dyDescent="0.3">
      <c r="A7" s="197"/>
      <c r="B7" s="42" t="s">
        <v>15</v>
      </c>
      <c r="C7" s="42" t="s">
        <v>16</v>
      </c>
      <c r="D7" s="42" t="s">
        <v>5</v>
      </c>
      <c r="E7" s="43" t="s">
        <v>17</v>
      </c>
      <c r="F7" s="43" t="s">
        <v>18</v>
      </c>
      <c r="G7" s="44">
        <v>1.4999999999999999E-2</v>
      </c>
      <c r="H7" s="45">
        <v>1.4999999999999999E-2</v>
      </c>
      <c r="I7" s="185" t="s">
        <v>158</v>
      </c>
      <c r="J7" s="42" t="s">
        <v>19</v>
      </c>
      <c r="K7" s="42" t="s">
        <v>12</v>
      </c>
      <c r="L7" s="46" t="s">
        <v>5</v>
      </c>
      <c r="M7" s="187" t="s">
        <v>20</v>
      </c>
      <c r="N7" s="188"/>
      <c r="O7" s="47">
        <f>O25*10%</f>
        <v>0</v>
      </c>
    </row>
    <row r="8" spans="1:16" ht="15.75" customHeight="1" x14ac:dyDescent="0.25">
      <c r="A8" s="48" t="s">
        <v>21</v>
      </c>
      <c r="B8" s="49"/>
      <c r="C8" s="50"/>
      <c r="D8" s="51">
        <f t="shared" ref="D8:D13" si="0">SUM(B8+C8)</f>
        <v>0</v>
      </c>
      <c r="E8" s="51">
        <f>C8*11%</f>
        <v>0</v>
      </c>
      <c r="F8" s="51">
        <f>C8*1%</f>
        <v>0</v>
      </c>
      <c r="G8" s="52">
        <f>C8*1.5%</f>
        <v>0</v>
      </c>
      <c r="H8" s="51">
        <f>C8*1.5%</f>
        <v>0</v>
      </c>
      <c r="I8" s="186">
        <f>(C8*1%)+(O7*30%)</f>
        <v>0</v>
      </c>
      <c r="J8" s="53"/>
      <c r="K8" s="51">
        <f>E8+F8+G8+H8+J8+O16</f>
        <v>0</v>
      </c>
      <c r="L8" s="54">
        <f t="shared" ref="L8:L13" si="1">D8-K8</f>
        <v>0</v>
      </c>
      <c r="M8" s="187" t="s">
        <v>22</v>
      </c>
      <c r="N8" s="188"/>
      <c r="O8" s="55">
        <f>C10*60%</f>
        <v>0</v>
      </c>
      <c r="P8" s="56"/>
    </row>
    <row r="9" spans="1:16" ht="15.75" customHeight="1" x14ac:dyDescent="0.25">
      <c r="A9" s="57" t="s">
        <v>23</v>
      </c>
      <c r="B9" s="58"/>
      <c r="C9" s="59"/>
      <c r="D9" s="51">
        <f t="shared" si="0"/>
        <v>0</v>
      </c>
      <c r="E9" s="60">
        <v>0</v>
      </c>
      <c r="F9" s="60">
        <v>0</v>
      </c>
      <c r="G9" s="61">
        <v>0</v>
      </c>
      <c r="H9" s="60">
        <v>0</v>
      </c>
      <c r="I9" s="180"/>
      <c r="J9" s="62"/>
      <c r="K9" s="63">
        <f t="shared" ref="K9:K13" si="2">E9+F9+G9+H9+J9</f>
        <v>0</v>
      </c>
      <c r="L9" s="64">
        <f t="shared" si="1"/>
        <v>0</v>
      </c>
      <c r="M9" s="187" t="s">
        <v>24</v>
      </c>
      <c r="N9" s="188"/>
      <c r="O9" s="47">
        <f t="shared" ref="O9:O15" si="3">C16*10%</f>
        <v>0</v>
      </c>
    </row>
    <row r="10" spans="1:16" ht="15.75" customHeight="1" x14ac:dyDescent="0.25">
      <c r="A10" s="57" t="s">
        <v>22</v>
      </c>
      <c r="B10" s="58"/>
      <c r="C10" s="59"/>
      <c r="D10" s="51">
        <f t="shared" si="0"/>
        <v>0</v>
      </c>
      <c r="E10" s="60">
        <f>C10*60%</f>
        <v>0</v>
      </c>
      <c r="F10" s="60">
        <v>0</v>
      </c>
      <c r="G10" s="61">
        <v>0</v>
      </c>
      <c r="H10" s="60">
        <v>0</v>
      </c>
      <c r="I10" s="180"/>
      <c r="J10" s="58"/>
      <c r="K10" s="63">
        <f t="shared" si="2"/>
        <v>0</v>
      </c>
      <c r="L10" s="64">
        <f t="shared" si="1"/>
        <v>0</v>
      </c>
      <c r="M10" s="187" t="s">
        <v>25</v>
      </c>
      <c r="N10" s="188"/>
      <c r="O10" s="65">
        <f t="shared" si="3"/>
        <v>0</v>
      </c>
    </row>
    <row r="11" spans="1:16" ht="15.75" customHeight="1" x14ac:dyDescent="0.25">
      <c r="A11" s="66" t="s">
        <v>26</v>
      </c>
      <c r="B11" s="58"/>
      <c r="C11" s="59"/>
      <c r="D11" s="51">
        <f>SUM(B11+C11)</f>
        <v>0</v>
      </c>
      <c r="E11" s="60">
        <v>0</v>
      </c>
      <c r="F11" s="60">
        <v>0</v>
      </c>
      <c r="G11" s="61">
        <v>0</v>
      </c>
      <c r="H11" s="60">
        <v>0</v>
      </c>
      <c r="I11" s="180"/>
      <c r="J11" s="58"/>
      <c r="K11" s="63">
        <f t="shared" si="2"/>
        <v>0</v>
      </c>
      <c r="L11" s="64">
        <f>D11-J11</f>
        <v>0</v>
      </c>
      <c r="M11" s="187" t="s">
        <v>27</v>
      </c>
      <c r="N11" s="188"/>
      <c r="O11" s="47">
        <f t="shared" si="3"/>
        <v>0</v>
      </c>
    </row>
    <row r="12" spans="1:16" ht="15.75" customHeight="1" x14ac:dyDescent="0.25">
      <c r="A12" s="67" t="s">
        <v>155</v>
      </c>
      <c r="B12" s="58"/>
      <c r="C12" s="59"/>
      <c r="D12" s="51">
        <f t="shared" si="0"/>
        <v>0</v>
      </c>
      <c r="E12" s="60">
        <v>0</v>
      </c>
      <c r="F12" s="60">
        <v>0</v>
      </c>
      <c r="G12" s="61">
        <v>0</v>
      </c>
      <c r="H12" s="60">
        <v>0</v>
      </c>
      <c r="I12" s="180"/>
      <c r="J12" s="58"/>
      <c r="K12" s="63">
        <f t="shared" si="2"/>
        <v>0</v>
      </c>
      <c r="L12" s="64">
        <f t="shared" si="1"/>
        <v>0</v>
      </c>
      <c r="M12" s="187" t="s">
        <v>28</v>
      </c>
      <c r="N12" s="188"/>
      <c r="O12" s="65">
        <f t="shared" si="3"/>
        <v>0</v>
      </c>
    </row>
    <row r="13" spans="1:16" ht="15.75" customHeight="1" x14ac:dyDescent="0.25">
      <c r="A13" s="68" t="s">
        <v>29</v>
      </c>
      <c r="B13" s="58"/>
      <c r="C13" s="59"/>
      <c r="D13" s="51">
        <f t="shared" si="0"/>
        <v>0</v>
      </c>
      <c r="E13" s="60">
        <v>0</v>
      </c>
      <c r="F13" s="60">
        <v>0</v>
      </c>
      <c r="G13" s="61">
        <v>0</v>
      </c>
      <c r="H13" s="60">
        <v>0</v>
      </c>
      <c r="I13" s="180"/>
      <c r="J13" s="58"/>
      <c r="K13" s="63">
        <f t="shared" si="2"/>
        <v>0</v>
      </c>
      <c r="L13" s="64">
        <f t="shared" si="1"/>
        <v>0</v>
      </c>
      <c r="M13" s="187" t="s">
        <v>30</v>
      </c>
      <c r="N13" s="188"/>
      <c r="O13" s="47">
        <f t="shared" si="3"/>
        <v>0</v>
      </c>
    </row>
    <row r="14" spans="1:16" ht="15.75" customHeight="1" x14ac:dyDescent="0.25">
      <c r="A14" s="69" t="s">
        <v>31</v>
      </c>
      <c r="B14" s="70">
        <f t="shared" ref="B14:L14" si="4">SUM(B8:B13)</f>
        <v>0</v>
      </c>
      <c r="C14" s="71"/>
      <c r="D14" s="70">
        <f t="shared" si="4"/>
        <v>0</v>
      </c>
      <c r="E14" s="70">
        <f t="shared" si="4"/>
        <v>0</v>
      </c>
      <c r="F14" s="70">
        <f t="shared" si="4"/>
        <v>0</v>
      </c>
      <c r="G14" s="72">
        <f t="shared" si="4"/>
        <v>0</v>
      </c>
      <c r="H14" s="70">
        <f t="shared" si="4"/>
        <v>0</v>
      </c>
      <c r="I14" s="70">
        <f t="shared" si="4"/>
        <v>0</v>
      </c>
      <c r="J14" s="70">
        <f t="shared" si="4"/>
        <v>0</v>
      </c>
      <c r="K14" s="73">
        <f t="shared" si="4"/>
        <v>0</v>
      </c>
      <c r="L14" s="74">
        <f t="shared" si="4"/>
        <v>0</v>
      </c>
      <c r="M14" s="187" t="s">
        <v>32</v>
      </c>
      <c r="N14" s="188"/>
      <c r="O14" s="47">
        <f t="shared" si="3"/>
        <v>0</v>
      </c>
    </row>
    <row r="15" spans="1:16" ht="15" customHeight="1" x14ac:dyDescent="0.25">
      <c r="A15" s="200" t="s">
        <v>33</v>
      </c>
      <c r="B15" s="201"/>
      <c r="C15" s="199"/>
      <c r="D15" s="75" t="s">
        <v>5</v>
      </c>
      <c r="E15" s="75" t="s">
        <v>34</v>
      </c>
      <c r="I15" s="182"/>
      <c r="J15" s="76" t="s">
        <v>12</v>
      </c>
      <c r="K15" s="76" t="s">
        <v>35</v>
      </c>
      <c r="L15" s="77" t="s">
        <v>7</v>
      </c>
      <c r="M15" s="187" t="s">
        <v>36</v>
      </c>
      <c r="N15" s="188"/>
      <c r="O15" s="47">
        <f t="shared" si="3"/>
        <v>0</v>
      </c>
    </row>
    <row r="16" spans="1:16" ht="15" customHeight="1" x14ac:dyDescent="0.25">
      <c r="A16" s="78" t="s">
        <v>37</v>
      </c>
      <c r="B16" s="58"/>
      <c r="C16" s="58"/>
      <c r="D16" s="60">
        <f t="shared" ref="D16:D22" si="5">SUM(B16+C16)</f>
        <v>0</v>
      </c>
      <c r="E16" s="60">
        <f t="shared" ref="E16:E22" si="6">C16*10%</f>
        <v>0</v>
      </c>
      <c r="H16" s="79"/>
      <c r="I16" s="183"/>
      <c r="J16" s="181">
        <v>0</v>
      </c>
      <c r="K16" s="60">
        <f t="shared" ref="K16:K22" si="7">J16+E16</f>
        <v>0</v>
      </c>
      <c r="L16" s="60">
        <f t="shared" ref="L16:L22" si="8">D16-K16</f>
        <v>0</v>
      </c>
      <c r="M16" s="204" t="s">
        <v>156</v>
      </c>
      <c r="N16" s="205"/>
      <c r="O16" s="47"/>
    </row>
    <row r="17" spans="1:15" ht="15" customHeight="1" x14ac:dyDescent="0.25">
      <c r="A17" s="80" t="s">
        <v>38</v>
      </c>
      <c r="B17" s="58"/>
      <c r="C17" s="58"/>
      <c r="D17" s="60">
        <f t="shared" si="5"/>
        <v>0</v>
      </c>
      <c r="E17" s="60">
        <f t="shared" si="6"/>
        <v>0</v>
      </c>
      <c r="H17" s="79"/>
      <c r="I17" s="183"/>
      <c r="J17" s="181"/>
      <c r="K17" s="60">
        <f t="shared" si="7"/>
        <v>0</v>
      </c>
      <c r="L17" s="81">
        <f t="shared" si="8"/>
        <v>0</v>
      </c>
      <c r="M17" s="187" t="s">
        <v>39</v>
      </c>
      <c r="N17" s="188"/>
      <c r="O17" s="82"/>
    </row>
    <row r="18" spans="1:15" ht="15" customHeight="1" x14ac:dyDescent="0.25">
      <c r="A18" s="80" t="s">
        <v>40</v>
      </c>
      <c r="B18" s="58"/>
      <c r="C18" s="58"/>
      <c r="D18" s="60">
        <f t="shared" si="5"/>
        <v>0</v>
      </c>
      <c r="E18" s="60">
        <f t="shared" si="6"/>
        <v>0</v>
      </c>
      <c r="H18" s="79"/>
      <c r="I18" s="183"/>
      <c r="J18" s="181">
        <v>0</v>
      </c>
      <c r="K18" s="60">
        <f t="shared" si="7"/>
        <v>0</v>
      </c>
      <c r="L18" s="81">
        <f>D18-K18</f>
        <v>0</v>
      </c>
      <c r="M18" s="187" t="s">
        <v>145</v>
      </c>
      <c r="N18" s="188"/>
      <c r="O18" s="83"/>
    </row>
    <row r="19" spans="1:15" ht="15" customHeight="1" x14ac:dyDescent="0.25">
      <c r="A19" s="80" t="s">
        <v>41</v>
      </c>
      <c r="B19" s="58"/>
      <c r="C19" s="58"/>
      <c r="D19" s="60">
        <f t="shared" si="5"/>
        <v>0</v>
      </c>
      <c r="E19" s="60">
        <f t="shared" si="6"/>
        <v>0</v>
      </c>
      <c r="H19" s="79"/>
      <c r="I19" s="183"/>
      <c r="J19" s="181"/>
      <c r="K19" s="60">
        <f t="shared" si="7"/>
        <v>0</v>
      </c>
      <c r="L19" s="81">
        <f t="shared" si="8"/>
        <v>0</v>
      </c>
      <c r="M19" s="187" t="s">
        <v>42</v>
      </c>
      <c r="N19" s="188"/>
      <c r="O19" s="84"/>
    </row>
    <row r="20" spans="1:15" ht="15" customHeight="1" x14ac:dyDescent="0.25">
      <c r="A20" s="80" t="s">
        <v>43</v>
      </c>
      <c r="B20" s="58"/>
      <c r="C20" s="58"/>
      <c r="D20" s="60">
        <f t="shared" si="5"/>
        <v>0</v>
      </c>
      <c r="E20" s="60">
        <f t="shared" si="6"/>
        <v>0</v>
      </c>
      <c r="H20" s="79"/>
      <c r="I20" s="183"/>
      <c r="J20" s="181"/>
      <c r="K20" s="60"/>
      <c r="L20" s="60">
        <f t="shared" si="8"/>
        <v>0</v>
      </c>
      <c r="M20" s="85" t="s">
        <v>161</v>
      </c>
      <c r="N20" s="85"/>
      <c r="O20" s="84"/>
    </row>
    <row r="21" spans="1:15" ht="15" customHeight="1" x14ac:dyDescent="0.25">
      <c r="A21" s="80" t="s">
        <v>44</v>
      </c>
      <c r="B21" s="58"/>
      <c r="C21" s="58"/>
      <c r="D21" s="60">
        <f t="shared" si="5"/>
        <v>0</v>
      </c>
      <c r="E21" s="60">
        <f t="shared" si="6"/>
        <v>0</v>
      </c>
      <c r="H21" s="79"/>
      <c r="I21" s="183"/>
      <c r="J21" s="181"/>
      <c r="K21" s="60">
        <f t="shared" si="7"/>
        <v>0</v>
      </c>
      <c r="L21" s="60">
        <f t="shared" si="8"/>
        <v>0</v>
      </c>
      <c r="M21" s="85" t="s">
        <v>162</v>
      </c>
      <c r="N21" s="85"/>
      <c r="O21" s="84"/>
    </row>
    <row r="22" spans="1:15" ht="15" customHeight="1" thickBot="1" x14ac:dyDescent="0.3">
      <c r="A22" s="80" t="s">
        <v>142</v>
      </c>
      <c r="B22" s="58"/>
      <c r="C22" s="58"/>
      <c r="D22" s="60">
        <f t="shared" si="5"/>
        <v>0</v>
      </c>
      <c r="E22" s="60">
        <f t="shared" si="6"/>
        <v>0</v>
      </c>
      <c r="H22" s="79"/>
      <c r="I22" s="183"/>
      <c r="J22" s="181"/>
      <c r="K22" s="60">
        <f t="shared" si="7"/>
        <v>0</v>
      </c>
      <c r="L22" s="60">
        <f t="shared" si="8"/>
        <v>0</v>
      </c>
      <c r="M22" s="86"/>
      <c r="N22" s="87"/>
      <c r="O22" s="88"/>
    </row>
    <row r="23" spans="1:15" ht="15" customHeight="1" thickBot="1" x14ac:dyDescent="0.3">
      <c r="A23" s="89" t="s">
        <v>31</v>
      </c>
      <c r="B23" s="60">
        <f t="shared" ref="B23:E23" si="9">SUM(B16:B22)</f>
        <v>0</v>
      </c>
      <c r="C23" s="60">
        <f t="shared" si="9"/>
        <v>0</v>
      </c>
      <c r="D23" s="60">
        <f t="shared" si="9"/>
        <v>0</v>
      </c>
      <c r="E23" s="60">
        <f t="shared" si="9"/>
        <v>0</v>
      </c>
      <c r="H23" s="79"/>
      <c r="I23" s="61">
        <f t="shared" ref="I23:L23" si="10">SUM(I16:I22)</f>
        <v>0</v>
      </c>
      <c r="J23" s="61">
        <f t="shared" si="10"/>
        <v>0</v>
      </c>
      <c r="K23" s="60">
        <f t="shared" si="10"/>
        <v>0</v>
      </c>
      <c r="L23" s="90">
        <f t="shared" si="10"/>
        <v>0</v>
      </c>
      <c r="M23" s="210" t="s">
        <v>45</v>
      </c>
      <c r="N23" s="191"/>
      <c r="O23" s="91"/>
    </row>
    <row r="24" spans="1:15" ht="15" customHeight="1" thickBot="1" x14ac:dyDescent="0.3">
      <c r="A24" s="92" t="s">
        <v>46</v>
      </c>
      <c r="B24" s="73">
        <f t="shared" ref="B24:E24" si="11">SUM(B14+B23)</f>
        <v>0</v>
      </c>
      <c r="C24" s="73">
        <f t="shared" si="11"/>
        <v>0</v>
      </c>
      <c r="D24" s="93">
        <f t="shared" si="11"/>
        <v>0</v>
      </c>
      <c r="E24" s="73">
        <f t="shared" si="11"/>
        <v>0</v>
      </c>
      <c r="H24" s="94"/>
      <c r="I24" s="95">
        <f t="shared" ref="I24:L24" si="12">I14+I23</f>
        <v>0</v>
      </c>
      <c r="J24" s="95">
        <f t="shared" si="12"/>
        <v>0</v>
      </c>
      <c r="K24" s="93">
        <f t="shared" si="12"/>
        <v>0</v>
      </c>
      <c r="L24" s="96">
        <f t="shared" si="12"/>
        <v>0</v>
      </c>
      <c r="M24" s="87"/>
      <c r="N24" s="87"/>
      <c r="O24" s="97"/>
    </row>
    <row r="25" spans="1:15" ht="15" customHeight="1" thickBot="1" x14ac:dyDescent="0.3">
      <c r="A25" s="211" t="s">
        <v>47</v>
      </c>
      <c r="B25" s="201"/>
      <c r="C25" s="201"/>
      <c r="D25" s="201"/>
      <c r="E25" s="201"/>
      <c r="F25" s="201"/>
      <c r="G25" s="201"/>
      <c r="H25" s="201"/>
      <c r="I25" s="212"/>
      <c r="J25" s="201"/>
      <c r="K25" s="201"/>
      <c r="L25" s="199"/>
      <c r="M25" s="98" t="s">
        <v>48</v>
      </c>
      <c r="N25" s="87"/>
      <c r="O25" s="99"/>
    </row>
    <row r="26" spans="1:15" ht="12.75" customHeight="1" thickBot="1" x14ac:dyDescent="0.3">
      <c r="A26" s="97"/>
      <c r="B26" s="100" t="s">
        <v>49</v>
      </c>
      <c r="C26" s="101" t="s">
        <v>50</v>
      </c>
      <c r="D26" s="101" t="s">
        <v>51</v>
      </c>
      <c r="E26" s="101" t="s">
        <v>52</v>
      </c>
      <c r="F26" s="101" t="s">
        <v>53</v>
      </c>
      <c r="G26" s="101" t="s">
        <v>143</v>
      </c>
      <c r="H26" s="101" t="s">
        <v>55</v>
      </c>
      <c r="I26" s="101"/>
      <c r="J26" s="101" t="s">
        <v>56</v>
      </c>
      <c r="K26" s="101" t="s">
        <v>57</v>
      </c>
      <c r="L26" s="102" t="s">
        <v>58</v>
      </c>
      <c r="M26" s="103"/>
      <c r="N26" s="104"/>
      <c r="O26" s="105">
        <v>71</v>
      </c>
    </row>
    <row r="27" spans="1:15" ht="15" customHeight="1" x14ac:dyDescent="0.25">
      <c r="A27" s="106" t="s">
        <v>38</v>
      </c>
      <c r="B27" s="107"/>
      <c r="C27" s="108"/>
      <c r="D27" s="108"/>
      <c r="E27" s="109">
        <f t="shared" ref="E27:E31" si="13">SUM(C27+D27)</f>
        <v>0</v>
      </c>
      <c r="F27" s="110">
        <v>0</v>
      </c>
      <c r="G27" s="111">
        <v>0</v>
      </c>
      <c r="H27" s="111">
        <v>0</v>
      </c>
      <c r="I27" s="111"/>
      <c r="J27" s="111">
        <v>0</v>
      </c>
      <c r="K27" s="111">
        <v>0</v>
      </c>
      <c r="L27" s="112">
        <v>0</v>
      </c>
      <c r="M27" s="113"/>
      <c r="N27" s="4"/>
      <c r="O27" s="114"/>
    </row>
    <row r="28" spans="1:15" ht="15" customHeight="1" x14ac:dyDescent="0.25">
      <c r="A28" s="106" t="s">
        <v>59</v>
      </c>
      <c r="B28" s="115"/>
      <c r="C28" s="115"/>
      <c r="D28" s="115"/>
      <c r="E28" s="109">
        <f t="shared" si="13"/>
        <v>0</v>
      </c>
      <c r="F28" s="115"/>
      <c r="G28" s="115"/>
      <c r="H28" s="115"/>
      <c r="I28" s="115"/>
      <c r="J28" s="115"/>
      <c r="K28" s="115"/>
      <c r="L28" s="116"/>
      <c r="M28" s="117"/>
      <c r="N28" s="118" t="s">
        <v>60</v>
      </c>
      <c r="O28" s="119"/>
    </row>
    <row r="29" spans="1:15" ht="15" customHeight="1" x14ac:dyDescent="0.25">
      <c r="A29" s="106" t="s">
        <v>41</v>
      </c>
      <c r="B29" s="115"/>
      <c r="C29" s="120"/>
      <c r="D29" s="115"/>
      <c r="E29" s="109">
        <f t="shared" si="13"/>
        <v>0</v>
      </c>
      <c r="F29" s="120"/>
      <c r="G29" s="115">
        <v>0</v>
      </c>
      <c r="H29" s="115">
        <v>0</v>
      </c>
      <c r="I29" s="115"/>
      <c r="J29" s="115">
        <v>0</v>
      </c>
      <c r="K29" s="115">
        <v>0</v>
      </c>
      <c r="L29" s="116">
        <v>0</v>
      </c>
      <c r="M29" s="220" t="s">
        <v>165</v>
      </c>
      <c r="N29" s="221"/>
      <c r="O29" s="222"/>
    </row>
    <row r="30" spans="1:15" ht="15" customHeight="1" x14ac:dyDescent="0.25">
      <c r="A30" s="106" t="s">
        <v>61</v>
      </c>
      <c r="B30" s="115"/>
      <c r="C30" s="115"/>
      <c r="D30" s="115"/>
      <c r="E30" s="109">
        <f t="shared" si="13"/>
        <v>0</v>
      </c>
      <c r="F30" s="115"/>
      <c r="G30" s="115">
        <v>0</v>
      </c>
      <c r="H30" s="115">
        <v>0</v>
      </c>
      <c r="I30" s="115"/>
      <c r="J30" s="115">
        <v>0</v>
      </c>
      <c r="K30" s="115">
        <v>0</v>
      </c>
      <c r="L30" s="116">
        <v>0</v>
      </c>
      <c r="M30" s="220" t="s">
        <v>166</v>
      </c>
      <c r="N30" s="221"/>
      <c r="O30" s="222"/>
    </row>
    <row r="31" spans="1:15" ht="15" customHeight="1" x14ac:dyDescent="0.25">
      <c r="A31" s="106" t="s">
        <v>62</v>
      </c>
      <c r="B31" s="115"/>
      <c r="C31" s="115"/>
      <c r="D31" s="115"/>
      <c r="E31" s="109">
        <f t="shared" si="13"/>
        <v>0</v>
      </c>
      <c r="F31" s="115" t="s">
        <v>146</v>
      </c>
      <c r="G31" s="115">
        <v>0</v>
      </c>
      <c r="H31" s="115">
        <v>0</v>
      </c>
      <c r="I31" s="115"/>
      <c r="J31" s="115">
        <v>0</v>
      </c>
      <c r="K31" s="115">
        <v>0</v>
      </c>
      <c r="L31" s="116">
        <v>0</v>
      </c>
      <c r="M31" s="121"/>
      <c r="N31" s="122"/>
      <c r="O31" s="123"/>
    </row>
    <row r="32" spans="1:15" ht="15" customHeight="1" x14ac:dyDescent="0.25">
      <c r="A32" s="124" t="s">
        <v>63</v>
      </c>
      <c r="B32" s="125">
        <f>SUM(B27:B31)</f>
        <v>0</v>
      </c>
      <c r="C32" s="125">
        <f>SUM(C27:C31)</f>
        <v>0</v>
      </c>
      <c r="D32" s="125">
        <f t="shared" ref="D32:L32" si="14">SUM(D27:D31)</f>
        <v>0</v>
      </c>
      <c r="E32" s="125">
        <f t="shared" si="14"/>
        <v>0</v>
      </c>
      <c r="F32" s="125">
        <f t="shared" si="14"/>
        <v>0</v>
      </c>
      <c r="G32" s="125">
        <f t="shared" si="14"/>
        <v>0</v>
      </c>
      <c r="H32" s="125">
        <f t="shared" si="14"/>
        <v>0</v>
      </c>
      <c r="I32" s="125"/>
      <c r="J32" s="125">
        <f t="shared" si="14"/>
        <v>0</v>
      </c>
      <c r="K32" s="125">
        <f t="shared" si="14"/>
        <v>0</v>
      </c>
      <c r="L32" s="126">
        <f t="shared" si="14"/>
        <v>0</v>
      </c>
      <c r="M32" s="127"/>
      <c r="N32" s="128"/>
      <c r="O32" s="129"/>
    </row>
    <row r="33" spans="1:15" ht="15" customHeight="1" x14ac:dyDescent="0.25">
      <c r="A33" s="213" t="s">
        <v>64</v>
      </c>
      <c r="B33" s="214"/>
      <c r="C33" s="214"/>
      <c r="D33" s="214"/>
      <c r="E33" s="214"/>
      <c r="F33" s="214"/>
      <c r="G33" s="214"/>
      <c r="H33" s="214"/>
      <c r="I33" s="214"/>
      <c r="J33" s="214"/>
      <c r="K33" s="214"/>
      <c r="L33" s="214"/>
      <c r="M33" s="130"/>
      <c r="N33" s="131"/>
      <c r="O33" s="132"/>
    </row>
    <row r="34" spans="1:15" ht="12.75" customHeight="1" thickBot="1" x14ac:dyDescent="0.3">
      <c r="A34" s="133"/>
      <c r="B34" s="101" t="s">
        <v>49</v>
      </c>
      <c r="C34" s="101" t="s">
        <v>50</v>
      </c>
      <c r="D34" s="101" t="s">
        <v>65</v>
      </c>
      <c r="E34" s="101" t="s">
        <v>51</v>
      </c>
      <c r="F34" s="101" t="s">
        <v>66</v>
      </c>
      <c r="G34" s="101" t="s">
        <v>67</v>
      </c>
      <c r="H34" s="101" t="s">
        <v>68</v>
      </c>
      <c r="I34" s="101"/>
      <c r="J34" s="101" t="s">
        <v>69</v>
      </c>
      <c r="K34" s="101" t="s">
        <v>70</v>
      </c>
      <c r="L34" s="134" t="s">
        <v>71</v>
      </c>
      <c r="M34" s="117"/>
      <c r="N34" s="131"/>
      <c r="O34" s="132"/>
    </row>
    <row r="35" spans="1:15" ht="15" customHeight="1" thickBot="1" x14ac:dyDescent="0.3">
      <c r="A35" s="135" t="s">
        <v>72</v>
      </c>
      <c r="B35" s="111"/>
      <c r="C35" s="111"/>
      <c r="D35" s="109">
        <f t="shared" ref="D35:D36" si="15">SUM(B35-C35)</f>
        <v>0</v>
      </c>
      <c r="E35" s="111"/>
      <c r="F35" s="109">
        <f t="shared" ref="F35:F36" si="16">SUM(C35+E35)</f>
        <v>0</v>
      </c>
      <c r="G35" s="111"/>
      <c r="H35" s="111"/>
      <c r="I35" s="111"/>
      <c r="J35" s="111"/>
      <c r="K35" s="111"/>
      <c r="L35" s="115"/>
      <c r="M35" s="136"/>
      <c r="N35" s="136"/>
      <c r="O35" s="137"/>
    </row>
    <row r="36" spans="1:15" ht="15" customHeight="1" x14ac:dyDescent="0.25">
      <c r="A36" s="138" t="s">
        <v>73</v>
      </c>
      <c r="B36" s="115"/>
      <c r="C36" s="115"/>
      <c r="D36" s="109">
        <f t="shared" si="15"/>
        <v>0</v>
      </c>
      <c r="E36" s="111"/>
      <c r="F36" s="109">
        <f t="shared" si="16"/>
        <v>0</v>
      </c>
      <c r="G36" s="115"/>
      <c r="H36" s="115"/>
      <c r="I36" s="115"/>
      <c r="J36" s="115"/>
      <c r="K36" s="115"/>
      <c r="L36" s="115"/>
      <c r="M36" s="4"/>
      <c r="N36" s="4"/>
      <c r="O36" s="114"/>
    </row>
    <row r="37" spans="1:15" ht="15" customHeight="1" thickBot="1" x14ac:dyDescent="0.3">
      <c r="A37" s="139" t="s">
        <v>5</v>
      </c>
      <c r="B37" s="125">
        <f t="shared" ref="B37:L37" si="17">SUM(B35:B36)</f>
        <v>0</v>
      </c>
      <c r="C37" s="125">
        <f t="shared" si="17"/>
        <v>0</v>
      </c>
      <c r="D37" s="125">
        <f t="shared" si="17"/>
        <v>0</v>
      </c>
      <c r="E37" s="125">
        <f t="shared" si="17"/>
        <v>0</v>
      </c>
      <c r="F37" s="125">
        <f t="shared" si="17"/>
        <v>0</v>
      </c>
      <c r="G37" s="125">
        <f t="shared" si="17"/>
        <v>0</v>
      </c>
      <c r="H37" s="125">
        <f t="shared" si="17"/>
        <v>0</v>
      </c>
      <c r="I37" s="125"/>
      <c r="J37" s="125">
        <f t="shared" si="17"/>
        <v>0</v>
      </c>
      <c r="K37" s="125">
        <f t="shared" si="17"/>
        <v>0</v>
      </c>
      <c r="L37" s="125">
        <f t="shared" si="17"/>
        <v>0</v>
      </c>
      <c r="M37" s="217" t="s">
        <v>163</v>
      </c>
      <c r="N37" s="218"/>
      <c r="O37" s="219"/>
    </row>
    <row r="38" spans="1:15" ht="15" customHeight="1" thickBot="1" x14ac:dyDescent="0.3">
      <c r="A38" s="211" t="s">
        <v>74</v>
      </c>
      <c r="B38" s="201"/>
      <c r="C38" s="201"/>
      <c r="D38" s="201"/>
      <c r="E38" s="211" t="s">
        <v>75</v>
      </c>
      <c r="F38" s="201"/>
      <c r="G38" s="201"/>
      <c r="H38" s="201"/>
      <c r="I38" s="176"/>
      <c r="J38" s="215" t="s">
        <v>76</v>
      </c>
      <c r="K38" s="208"/>
      <c r="L38" s="209"/>
      <c r="M38" s="216" t="s">
        <v>77</v>
      </c>
      <c r="N38" s="193"/>
      <c r="O38" s="203"/>
    </row>
    <row r="39" spans="1:15" ht="15" customHeight="1" thickBot="1" x14ac:dyDescent="0.3">
      <c r="A39" s="135" t="s">
        <v>78</v>
      </c>
      <c r="B39" s="140"/>
      <c r="C39" s="141" t="s">
        <v>79</v>
      </c>
      <c r="D39" s="142">
        <v>0</v>
      </c>
      <c r="E39" s="135" t="s">
        <v>80</v>
      </c>
      <c r="F39" s="140">
        <v>3</v>
      </c>
      <c r="G39" s="141" t="s">
        <v>81</v>
      </c>
      <c r="H39" s="142"/>
      <c r="I39" s="177"/>
      <c r="J39" s="143" t="s">
        <v>82</v>
      </c>
      <c r="K39" s="144"/>
      <c r="L39" s="145"/>
      <c r="M39" s="223" t="s">
        <v>164</v>
      </c>
      <c r="N39" s="224"/>
      <c r="O39" s="225"/>
    </row>
    <row r="40" spans="1:15" ht="15" customHeight="1" x14ac:dyDescent="0.25">
      <c r="A40" s="138" t="s">
        <v>83</v>
      </c>
      <c r="B40" s="146"/>
      <c r="C40" s="147" t="s">
        <v>84</v>
      </c>
      <c r="D40" s="148"/>
      <c r="E40" s="138" t="s">
        <v>85</v>
      </c>
      <c r="F40" s="146">
        <v>6</v>
      </c>
      <c r="G40" s="147" t="s">
        <v>86</v>
      </c>
      <c r="H40" s="148"/>
      <c r="I40" s="5"/>
      <c r="J40" s="149" t="s">
        <v>87</v>
      </c>
      <c r="K40" s="5"/>
      <c r="L40" s="150"/>
      <c r="M40" s="202" t="s">
        <v>88</v>
      </c>
      <c r="N40" s="193"/>
      <c r="O40" s="203"/>
    </row>
    <row r="41" spans="1:15" ht="15" customHeight="1" x14ac:dyDescent="0.25">
      <c r="A41" s="138" t="s">
        <v>89</v>
      </c>
      <c r="B41" s="146"/>
      <c r="C41" s="147" t="s">
        <v>90</v>
      </c>
      <c r="D41" s="148"/>
      <c r="E41" s="138" t="s">
        <v>91</v>
      </c>
      <c r="F41" s="146">
        <v>1</v>
      </c>
      <c r="G41" s="147" t="s">
        <v>92</v>
      </c>
      <c r="H41" s="148"/>
      <c r="I41" s="152"/>
      <c r="J41" s="151" t="s">
        <v>93</v>
      </c>
      <c r="K41" s="152"/>
      <c r="L41" s="153"/>
      <c r="M41" s="207" t="s">
        <v>147</v>
      </c>
      <c r="N41" s="208"/>
      <c r="O41" s="209"/>
    </row>
    <row r="42" spans="1:15" ht="15" customHeight="1" x14ac:dyDescent="0.25">
      <c r="A42" s="154" t="s">
        <v>5</v>
      </c>
      <c r="B42" s="155">
        <f>SUM(B39:B41)</f>
        <v>0</v>
      </c>
      <c r="C42" s="147" t="s">
        <v>94</v>
      </c>
      <c r="D42" s="148"/>
      <c r="E42" s="138" t="s">
        <v>54</v>
      </c>
      <c r="F42" s="146"/>
      <c r="G42" s="147" t="s">
        <v>95</v>
      </c>
      <c r="H42" s="148">
        <v>1</v>
      </c>
      <c r="I42" s="5"/>
      <c r="J42" s="149"/>
      <c r="K42" s="5"/>
      <c r="L42" s="150"/>
      <c r="M42" s="206" t="s">
        <v>96</v>
      </c>
      <c r="N42" s="201"/>
      <c r="O42" s="199"/>
    </row>
    <row r="43" spans="1:15" ht="15" customHeight="1" thickBot="1" x14ac:dyDescent="0.3">
      <c r="A43" s="156" t="s">
        <v>97</v>
      </c>
      <c r="B43" s="157"/>
      <c r="C43" s="158" t="s">
        <v>98</v>
      </c>
      <c r="D43" s="159" t="s">
        <v>144</v>
      </c>
      <c r="E43" s="156" t="s">
        <v>55</v>
      </c>
      <c r="F43" s="160"/>
      <c r="G43" s="158" t="s">
        <v>99</v>
      </c>
      <c r="H43" s="159"/>
      <c r="I43" s="178"/>
      <c r="J43" s="161" t="s">
        <v>100</v>
      </c>
      <c r="K43" s="162"/>
      <c r="L43" s="163"/>
      <c r="M43" s="207"/>
      <c r="N43" s="208"/>
      <c r="O43" s="209"/>
    </row>
    <row r="44" spans="1:15" ht="15" customHeight="1" thickBot="1" x14ac:dyDescent="0.3">
      <c r="A44" s="164" t="s">
        <v>101</v>
      </c>
      <c r="B44" s="165"/>
      <c r="C44" s="166" t="s">
        <v>5</v>
      </c>
      <c r="D44" s="167">
        <f>SUM(D39:D43)</f>
        <v>0</v>
      </c>
      <c r="E44" s="168" t="s">
        <v>141</v>
      </c>
      <c r="F44" s="169"/>
      <c r="G44" s="170"/>
      <c r="H44" s="171"/>
      <c r="I44" s="179"/>
      <c r="J44" s="168" t="s">
        <v>102</v>
      </c>
      <c r="K44" s="169"/>
      <c r="L44" s="172"/>
      <c r="M44" s="173" t="s">
        <v>103</v>
      </c>
      <c r="N44" s="174"/>
      <c r="O44" s="175"/>
    </row>
    <row r="45" spans="1:15" ht="15.75" customHeight="1" x14ac:dyDescent="0.25"/>
    <row r="46" spans="1:15" ht="15.75" customHeight="1" x14ac:dyDescent="0.25"/>
    <row r="47" spans="1:15" ht="15.75" customHeight="1" x14ac:dyDescent="0.25"/>
    <row r="48" spans="1:1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</sheetData>
  <mergeCells count="35">
    <mergeCell ref="M42:O42"/>
    <mergeCell ref="M43:O43"/>
    <mergeCell ref="M23:N23"/>
    <mergeCell ref="A25:L25"/>
    <mergeCell ref="A33:L33"/>
    <mergeCell ref="A38:D38"/>
    <mergeCell ref="E38:H38"/>
    <mergeCell ref="J38:L38"/>
    <mergeCell ref="M38:O38"/>
    <mergeCell ref="M37:O37"/>
    <mergeCell ref="M29:O29"/>
    <mergeCell ref="M30:O30"/>
    <mergeCell ref="M39:O39"/>
    <mergeCell ref="M41:O41"/>
    <mergeCell ref="A15:C15"/>
    <mergeCell ref="M15:N15"/>
    <mergeCell ref="M17:N17"/>
    <mergeCell ref="M18:N18"/>
    <mergeCell ref="M40:O40"/>
    <mergeCell ref="M19:N19"/>
    <mergeCell ref="M16:N16"/>
    <mergeCell ref="M13:N13"/>
    <mergeCell ref="M14:N14"/>
    <mergeCell ref="G2:O2"/>
    <mergeCell ref="A5:L5"/>
    <mergeCell ref="M5:N5"/>
    <mergeCell ref="A6:A7"/>
    <mergeCell ref="C6:D6"/>
    <mergeCell ref="M6:N6"/>
    <mergeCell ref="M7:N7"/>
    <mergeCell ref="M8:N8"/>
    <mergeCell ref="M9:N9"/>
    <mergeCell ref="M10:N10"/>
    <mergeCell ref="M11:N11"/>
    <mergeCell ref="M12:N12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CAEFB-4773-4D09-B61C-499C047A8206}">
  <dimension ref="A1:E48"/>
  <sheetViews>
    <sheetView workbookViewId="0">
      <selection activeCell="A7" sqref="A7"/>
    </sheetView>
  </sheetViews>
  <sheetFormatPr defaultRowHeight="15" x14ac:dyDescent="0.25"/>
  <cols>
    <col min="1" max="1" width="38" customWidth="1"/>
    <col min="2" max="2" width="13" customWidth="1"/>
    <col min="3" max="3" width="2.85546875" customWidth="1"/>
    <col min="4" max="4" width="26.42578125" customWidth="1"/>
    <col min="5" max="5" width="9.85546875" customWidth="1"/>
    <col min="257" max="257" width="38" customWidth="1"/>
    <col min="258" max="258" width="13" customWidth="1"/>
    <col min="259" max="259" width="2.85546875" customWidth="1"/>
    <col min="260" max="260" width="26.42578125" customWidth="1"/>
    <col min="261" max="261" width="9.85546875" customWidth="1"/>
    <col min="513" max="513" width="38" customWidth="1"/>
    <col min="514" max="514" width="13" customWidth="1"/>
    <col min="515" max="515" width="2.85546875" customWidth="1"/>
    <col min="516" max="516" width="26.42578125" customWidth="1"/>
    <col min="517" max="517" width="9.85546875" customWidth="1"/>
    <col min="769" max="769" width="38" customWidth="1"/>
    <col min="770" max="770" width="13" customWidth="1"/>
    <col min="771" max="771" width="2.85546875" customWidth="1"/>
    <col min="772" max="772" width="26.42578125" customWidth="1"/>
    <col min="773" max="773" width="9.85546875" customWidth="1"/>
    <col min="1025" max="1025" width="38" customWidth="1"/>
    <col min="1026" max="1026" width="13" customWidth="1"/>
    <col min="1027" max="1027" width="2.85546875" customWidth="1"/>
    <col min="1028" max="1028" width="26.42578125" customWidth="1"/>
    <col min="1029" max="1029" width="9.85546875" customWidth="1"/>
    <col min="1281" max="1281" width="38" customWidth="1"/>
    <col min="1282" max="1282" width="13" customWidth="1"/>
    <col min="1283" max="1283" width="2.85546875" customWidth="1"/>
    <col min="1284" max="1284" width="26.42578125" customWidth="1"/>
    <col min="1285" max="1285" width="9.85546875" customWidth="1"/>
    <col min="1537" max="1537" width="38" customWidth="1"/>
    <col min="1538" max="1538" width="13" customWidth="1"/>
    <col min="1539" max="1539" width="2.85546875" customWidth="1"/>
    <col min="1540" max="1540" width="26.42578125" customWidth="1"/>
    <col min="1541" max="1541" width="9.85546875" customWidth="1"/>
    <col min="1793" max="1793" width="38" customWidth="1"/>
    <col min="1794" max="1794" width="13" customWidth="1"/>
    <col min="1795" max="1795" width="2.85546875" customWidth="1"/>
    <col min="1796" max="1796" width="26.42578125" customWidth="1"/>
    <col min="1797" max="1797" width="9.85546875" customWidth="1"/>
    <col min="2049" max="2049" width="38" customWidth="1"/>
    <col min="2050" max="2050" width="13" customWidth="1"/>
    <col min="2051" max="2051" width="2.85546875" customWidth="1"/>
    <col min="2052" max="2052" width="26.42578125" customWidth="1"/>
    <col min="2053" max="2053" width="9.85546875" customWidth="1"/>
    <col min="2305" max="2305" width="38" customWidth="1"/>
    <col min="2306" max="2306" width="13" customWidth="1"/>
    <col min="2307" max="2307" width="2.85546875" customWidth="1"/>
    <col min="2308" max="2308" width="26.42578125" customWidth="1"/>
    <col min="2309" max="2309" width="9.85546875" customWidth="1"/>
    <col min="2561" max="2561" width="38" customWidth="1"/>
    <col min="2562" max="2562" width="13" customWidth="1"/>
    <col min="2563" max="2563" width="2.85546875" customWidth="1"/>
    <col min="2564" max="2564" width="26.42578125" customWidth="1"/>
    <col min="2565" max="2565" width="9.85546875" customWidth="1"/>
    <col min="2817" max="2817" width="38" customWidth="1"/>
    <col min="2818" max="2818" width="13" customWidth="1"/>
    <col min="2819" max="2819" width="2.85546875" customWidth="1"/>
    <col min="2820" max="2820" width="26.42578125" customWidth="1"/>
    <col min="2821" max="2821" width="9.85546875" customWidth="1"/>
    <col min="3073" max="3073" width="38" customWidth="1"/>
    <col min="3074" max="3074" width="13" customWidth="1"/>
    <col min="3075" max="3075" width="2.85546875" customWidth="1"/>
    <col min="3076" max="3076" width="26.42578125" customWidth="1"/>
    <col min="3077" max="3077" width="9.85546875" customWidth="1"/>
    <col min="3329" max="3329" width="38" customWidth="1"/>
    <col min="3330" max="3330" width="13" customWidth="1"/>
    <col min="3331" max="3331" width="2.85546875" customWidth="1"/>
    <col min="3332" max="3332" width="26.42578125" customWidth="1"/>
    <col min="3333" max="3333" width="9.85546875" customWidth="1"/>
    <col min="3585" max="3585" width="38" customWidth="1"/>
    <col min="3586" max="3586" width="13" customWidth="1"/>
    <col min="3587" max="3587" width="2.85546875" customWidth="1"/>
    <col min="3588" max="3588" width="26.42578125" customWidth="1"/>
    <col min="3589" max="3589" width="9.85546875" customWidth="1"/>
    <col min="3841" max="3841" width="38" customWidth="1"/>
    <col min="3842" max="3842" width="13" customWidth="1"/>
    <col min="3843" max="3843" width="2.85546875" customWidth="1"/>
    <col min="3844" max="3844" width="26.42578125" customWidth="1"/>
    <col min="3845" max="3845" width="9.85546875" customWidth="1"/>
    <col min="4097" max="4097" width="38" customWidth="1"/>
    <col min="4098" max="4098" width="13" customWidth="1"/>
    <col min="4099" max="4099" width="2.85546875" customWidth="1"/>
    <col min="4100" max="4100" width="26.42578125" customWidth="1"/>
    <col min="4101" max="4101" width="9.85546875" customWidth="1"/>
    <col min="4353" max="4353" width="38" customWidth="1"/>
    <col min="4354" max="4354" width="13" customWidth="1"/>
    <col min="4355" max="4355" width="2.85546875" customWidth="1"/>
    <col min="4356" max="4356" width="26.42578125" customWidth="1"/>
    <col min="4357" max="4357" width="9.85546875" customWidth="1"/>
    <col min="4609" max="4609" width="38" customWidth="1"/>
    <col min="4610" max="4610" width="13" customWidth="1"/>
    <col min="4611" max="4611" width="2.85546875" customWidth="1"/>
    <col min="4612" max="4612" width="26.42578125" customWidth="1"/>
    <col min="4613" max="4613" width="9.85546875" customWidth="1"/>
    <col min="4865" max="4865" width="38" customWidth="1"/>
    <col min="4866" max="4866" width="13" customWidth="1"/>
    <col min="4867" max="4867" width="2.85546875" customWidth="1"/>
    <col min="4868" max="4868" width="26.42578125" customWidth="1"/>
    <col min="4869" max="4869" width="9.85546875" customWidth="1"/>
    <col min="5121" max="5121" width="38" customWidth="1"/>
    <col min="5122" max="5122" width="13" customWidth="1"/>
    <col min="5123" max="5123" width="2.85546875" customWidth="1"/>
    <col min="5124" max="5124" width="26.42578125" customWidth="1"/>
    <col min="5125" max="5125" width="9.85546875" customWidth="1"/>
    <col min="5377" max="5377" width="38" customWidth="1"/>
    <col min="5378" max="5378" width="13" customWidth="1"/>
    <col min="5379" max="5379" width="2.85546875" customWidth="1"/>
    <col min="5380" max="5380" width="26.42578125" customWidth="1"/>
    <col min="5381" max="5381" width="9.85546875" customWidth="1"/>
    <col min="5633" max="5633" width="38" customWidth="1"/>
    <col min="5634" max="5634" width="13" customWidth="1"/>
    <col min="5635" max="5635" width="2.85546875" customWidth="1"/>
    <col min="5636" max="5636" width="26.42578125" customWidth="1"/>
    <col min="5637" max="5637" width="9.85546875" customWidth="1"/>
    <col min="5889" max="5889" width="38" customWidth="1"/>
    <col min="5890" max="5890" width="13" customWidth="1"/>
    <col min="5891" max="5891" width="2.85546875" customWidth="1"/>
    <col min="5892" max="5892" width="26.42578125" customWidth="1"/>
    <col min="5893" max="5893" width="9.85546875" customWidth="1"/>
    <col min="6145" max="6145" width="38" customWidth="1"/>
    <col min="6146" max="6146" width="13" customWidth="1"/>
    <col min="6147" max="6147" width="2.85546875" customWidth="1"/>
    <col min="6148" max="6148" width="26.42578125" customWidth="1"/>
    <col min="6149" max="6149" width="9.85546875" customWidth="1"/>
    <col min="6401" max="6401" width="38" customWidth="1"/>
    <col min="6402" max="6402" width="13" customWidth="1"/>
    <col min="6403" max="6403" width="2.85546875" customWidth="1"/>
    <col min="6404" max="6404" width="26.42578125" customWidth="1"/>
    <col min="6405" max="6405" width="9.85546875" customWidth="1"/>
    <col min="6657" max="6657" width="38" customWidth="1"/>
    <col min="6658" max="6658" width="13" customWidth="1"/>
    <col min="6659" max="6659" width="2.85546875" customWidth="1"/>
    <col min="6660" max="6660" width="26.42578125" customWidth="1"/>
    <col min="6661" max="6661" width="9.85546875" customWidth="1"/>
    <col min="6913" max="6913" width="38" customWidth="1"/>
    <col min="6914" max="6914" width="13" customWidth="1"/>
    <col min="6915" max="6915" width="2.85546875" customWidth="1"/>
    <col min="6916" max="6916" width="26.42578125" customWidth="1"/>
    <col min="6917" max="6917" width="9.85546875" customWidth="1"/>
    <col min="7169" max="7169" width="38" customWidth="1"/>
    <col min="7170" max="7170" width="13" customWidth="1"/>
    <col min="7171" max="7171" width="2.85546875" customWidth="1"/>
    <col min="7172" max="7172" width="26.42578125" customWidth="1"/>
    <col min="7173" max="7173" width="9.85546875" customWidth="1"/>
    <col min="7425" max="7425" width="38" customWidth="1"/>
    <col min="7426" max="7426" width="13" customWidth="1"/>
    <col min="7427" max="7427" width="2.85546875" customWidth="1"/>
    <col min="7428" max="7428" width="26.42578125" customWidth="1"/>
    <col min="7429" max="7429" width="9.85546875" customWidth="1"/>
    <col min="7681" max="7681" width="38" customWidth="1"/>
    <col min="7682" max="7682" width="13" customWidth="1"/>
    <col min="7683" max="7683" width="2.85546875" customWidth="1"/>
    <col min="7684" max="7684" width="26.42578125" customWidth="1"/>
    <col min="7685" max="7685" width="9.85546875" customWidth="1"/>
    <col min="7937" max="7937" width="38" customWidth="1"/>
    <col min="7938" max="7938" width="13" customWidth="1"/>
    <col min="7939" max="7939" width="2.85546875" customWidth="1"/>
    <col min="7940" max="7940" width="26.42578125" customWidth="1"/>
    <col min="7941" max="7941" width="9.85546875" customWidth="1"/>
    <col min="8193" max="8193" width="38" customWidth="1"/>
    <col min="8194" max="8194" width="13" customWidth="1"/>
    <col min="8195" max="8195" width="2.85546875" customWidth="1"/>
    <col min="8196" max="8196" width="26.42578125" customWidth="1"/>
    <col min="8197" max="8197" width="9.85546875" customWidth="1"/>
    <col min="8449" max="8449" width="38" customWidth="1"/>
    <col min="8450" max="8450" width="13" customWidth="1"/>
    <col min="8451" max="8451" width="2.85546875" customWidth="1"/>
    <col min="8452" max="8452" width="26.42578125" customWidth="1"/>
    <col min="8453" max="8453" width="9.85546875" customWidth="1"/>
    <col min="8705" max="8705" width="38" customWidth="1"/>
    <col min="8706" max="8706" width="13" customWidth="1"/>
    <col min="8707" max="8707" width="2.85546875" customWidth="1"/>
    <col min="8708" max="8708" width="26.42578125" customWidth="1"/>
    <col min="8709" max="8709" width="9.85546875" customWidth="1"/>
    <col min="8961" max="8961" width="38" customWidth="1"/>
    <col min="8962" max="8962" width="13" customWidth="1"/>
    <col min="8963" max="8963" width="2.85546875" customWidth="1"/>
    <col min="8964" max="8964" width="26.42578125" customWidth="1"/>
    <col min="8965" max="8965" width="9.85546875" customWidth="1"/>
    <col min="9217" max="9217" width="38" customWidth="1"/>
    <col min="9218" max="9218" width="13" customWidth="1"/>
    <col min="9219" max="9219" width="2.85546875" customWidth="1"/>
    <col min="9220" max="9220" width="26.42578125" customWidth="1"/>
    <col min="9221" max="9221" width="9.85546875" customWidth="1"/>
    <col min="9473" max="9473" width="38" customWidth="1"/>
    <col min="9474" max="9474" width="13" customWidth="1"/>
    <col min="9475" max="9475" width="2.85546875" customWidth="1"/>
    <col min="9476" max="9476" width="26.42578125" customWidth="1"/>
    <col min="9477" max="9477" width="9.85546875" customWidth="1"/>
    <col min="9729" max="9729" width="38" customWidth="1"/>
    <col min="9730" max="9730" width="13" customWidth="1"/>
    <col min="9731" max="9731" width="2.85546875" customWidth="1"/>
    <col min="9732" max="9732" width="26.42578125" customWidth="1"/>
    <col min="9733" max="9733" width="9.85546875" customWidth="1"/>
    <col min="9985" max="9985" width="38" customWidth="1"/>
    <col min="9986" max="9986" width="13" customWidth="1"/>
    <col min="9987" max="9987" width="2.85546875" customWidth="1"/>
    <col min="9988" max="9988" width="26.42578125" customWidth="1"/>
    <col min="9989" max="9989" width="9.85546875" customWidth="1"/>
    <col min="10241" max="10241" width="38" customWidth="1"/>
    <col min="10242" max="10242" width="13" customWidth="1"/>
    <col min="10243" max="10243" width="2.85546875" customWidth="1"/>
    <col min="10244" max="10244" width="26.42578125" customWidth="1"/>
    <col min="10245" max="10245" width="9.85546875" customWidth="1"/>
    <col min="10497" max="10497" width="38" customWidth="1"/>
    <col min="10498" max="10498" width="13" customWidth="1"/>
    <col min="10499" max="10499" width="2.85546875" customWidth="1"/>
    <col min="10500" max="10500" width="26.42578125" customWidth="1"/>
    <col min="10501" max="10501" width="9.85546875" customWidth="1"/>
    <col min="10753" max="10753" width="38" customWidth="1"/>
    <col min="10754" max="10754" width="13" customWidth="1"/>
    <col min="10755" max="10755" width="2.85546875" customWidth="1"/>
    <col min="10756" max="10756" width="26.42578125" customWidth="1"/>
    <col min="10757" max="10757" width="9.85546875" customWidth="1"/>
    <col min="11009" max="11009" width="38" customWidth="1"/>
    <col min="11010" max="11010" width="13" customWidth="1"/>
    <col min="11011" max="11011" width="2.85546875" customWidth="1"/>
    <col min="11012" max="11012" width="26.42578125" customWidth="1"/>
    <col min="11013" max="11013" width="9.85546875" customWidth="1"/>
    <col min="11265" max="11265" width="38" customWidth="1"/>
    <col min="11266" max="11266" width="13" customWidth="1"/>
    <col min="11267" max="11267" width="2.85546875" customWidth="1"/>
    <col min="11268" max="11268" width="26.42578125" customWidth="1"/>
    <col min="11269" max="11269" width="9.85546875" customWidth="1"/>
    <col min="11521" max="11521" width="38" customWidth="1"/>
    <col min="11522" max="11522" width="13" customWidth="1"/>
    <col min="11523" max="11523" width="2.85546875" customWidth="1"/>
    <col min="11524" max="11524" width="26.42578125" customWidth="1"/>
    <col min="11525" max="11525" width="9.85546875" customWidth="1"/>
    <col min="11777" max="11777" width="38" customWidth="1"/>
    <col min="11778" max="11778" width="13" customWidth="1"/>
    <col min="11779" max="11779" width="2.85546875" customWidth="1"/>
    <col min="11780" max="11780" width="26.42578125" customWidth="1"/>
    <col min="11781" max="11781" width="9.85546875" customWidth="1"/>
    <col min="12033" max="12033" width="38" customWidth="1"/>
    <col min="12034" max="12034" width="13" customWidth="1"/>
    <col min="12035" max="12035" width="2.85546875" customWidth="1"/>
    <col min="12036" max="12036" width="26.42578125" customWidth="1"/>
    <col min="12037" max="12037" width="9.85546875" customWidth="1"/>
    <col min="12289" max="12289" width="38" customWidth="1"/>
    <col min="12290" max="12290" width="13" customWidth="1"/>
    <col min="12291" max="12291" width="2.85546875" customWidth="1"/>
    <col min="12292" max="12292" width="26.42578125" customWidth="1"/>
    <col min="12293" max="12293" width="9.85546875" customWidth="1"/>
    <col min="12545" max="12545" width="38" customWidth="1"/>
    <col min="12546" max="12546" width="13" customWidth="1"/>
    <col min="12547" max="12547" width="2.85546875" customWidth="1"/>
    <col min="12548" max="12548" width="26.42578125" customWidth="1"/>
    <col min="12549" max="12549" width="9.85546875" customWidth="1"/>
    <col min="12801" max="12801" width="38" customWidth="1"/>
    <col min="12802" max="12802" width="13" customWidth="1"/>
    <col min="12803" max="12803" width="2.85546875" customWidth="1"/>
    <col min="12804" max="12804" width="26.42578125" customWidth="1"/>
    <col min="12805" max="12805" width="9.85546875" customWidth="1"/>
    <col min="13057" max="13057" width="38" customWidth="1"/>
    <col min="13058" max="13058" width="13" customWidth="1"/>
    <col min="13059" max="13059" width="2.85546875" customWidth="1"/>
    <col min="13060" max="13060" width="26.42578125" customWidth="1"/>
    <col min="13061" max="13061" width="9.85546875" customWidth="1"/>
    <col min="13313" max="13313" width="38" customWidth="1"/>
    <col min="13314" max="13314" width="13" customWidth="1"/>
    <col min="13315" max="13315" width="2.85546875" customWidth="1"/>
    <col min="13316" max="13316" width="26.42578125" customWidth="1"/>
    <col min="13317" max="13317" width="9.85546875" customWidth="1"/>
    <col min="13569" max="13569" width="38" customWidth="1"/>
    <col min="13570" max="13570" width="13" customWidth="1"/>
    <col min="13571" max="13571" width="2.85546875" customWidth="1"/>
    <col min="13572" max="13572" width="26.42578125" customWidth="1"/>
    <col min="13573" max="13573" width="9.85546875" customWidth="1"/>
    <col min="13825" max="13825" width="38" customWidth="1"/>
    <col min="13826" max="13826" width="13" customWidth="1"/>
    <col min="13827" max="13827" width="2.85546875" customWidth="1"/>
    <col min="13828" max="13828" width="26.42578125" customWidth="1"/>
    <col min="13829" max="13829" width="9.85546875" customWidth="1"/>
    <col min="14081" max="14081" width="38" customWidth="1"/>
    <col min="14082" max="14082" width="13" customWidth="1"/>
    <col min="14083" max="14083" width="2.85546875" customWidth="1"/>
    <col min="14084" max="14084" width="26.42578125" customWidth="1"/>
    <col min="14085" max="14085" width="9.85546875" customWidth="1"/>
    <col min="14337" max="14337" width="38" customWidth="1"/>
    <col min="14338" max="14338" width="13" customWidth="1"/>
    <col min="14339" max="14339" width="2.85546875" customWidth="1"/>
    <col min="14340" max="14340" width="26.42578125" customWidth="1"/>
    <col min="14341" max="14341" width="9.85546875" customWidth="1"/>
    <col min="14593" max="14593" width="38" customWidth="1"/>
    <col min="14594" max="14594" width="13" customWidth="1"/>
    <col min="14595" max="14595" width="2.85546875" customWidth="1"/>
    <col min="14596" max="14596" width="26.42578125" customWidth="1"/>
    <col min="14597" max="14597" width="9.85546875" customWidth="1"/>
    <col min="14849" max="14849" width="38" customWidth="1"/>
    <col min="14850" max="14850" width="13" customWidth="1"/>
    <col min="14851" max="14851" width="2.85546875" customWidth="1"/>
    <col min="14852" max="14852" width="26.42578125" customWidth="1"/>
    <col min="14853" max="14853" width="9.85546875" customWidth="1"/>
    <col min="15105" max="15105" width="38" customWidth="1"/>
    <col min="15106" max="15106" width="13" customWidth="1"/>
    <col min="15107" max="15107" width="2.85546875" customWidth="1"/>
    <col min="15108" max="15108" width="26.42578125" customWidth="1"/>
    <col min="15109" max="15109" width="9.85546875" customWidth="1"/>
    <col min="15361" max="15361" width="38" customWidth="1"/>
    <col min="15362" max="15362" width="13" customWidth="1"/>
    <col min="15363" max="15363" width="2.85546875" customWidth="1"/>
    <col min="15364" max="15364" width="26.42578125" customWidth="1"/>
    <col min="15365" max="15365" width="9.85546875" customWidth="1"/>
    <col min="15617" max="15617" width="38" customWidth="1"/>
    <col min="15618" max="15618" width="13" customWidth="1"/>
    <col min="15619" max="15619" width="2.85546875" customWidth="1"/>
    <col min="15620" max="15620" width="26.42578125" customWidth="1"/>
    <col min="15621" max="15621" width="9.85546875" customWidth="1"/>
    <col min="15873" max="15873" width="38" customWidth="1"/>
    <col min="15874" max="15874" width="13" customWidth="1"/>
    <col min="15875" max="15875" width="2.85546875" customWidth="1"/>
    <col min="15876" max="15876" width="26.42578125" customWidth="1"/>
    <col min="15877" max="15877" width="9.85546875" customWidth="1"/>
    <col min="16129" max="16129" width="38" customWidth="1"/>
    <col min="16130" max="16130" width="13" customWidth="1"/>
    <col min="16131" max="16131" width="2.85546875" customWidth="1"/>
    <col min="16132" max="16132" width="26.42578125" customWidth="1"/>
    <col min="16133" max="16133" width="9.85546875" customWidth="1"/>
  </cols>
  <sheetData>
    <row r="1" spans="1:5" x14ac:dyDescent="0.25">
      <c r="A1" s="226"/>
      <c r="B1" s="226"/>
      <c r="C1" s="226"/>
      <c r="D1" s="226"/>
      <c r="E1" s="226"/>
    </row>
    <row r="2" spans="1:5" x14ac:dyDescent="0.25">
      <c r="A2" s="227"/>
      <c r="B2" s="227"/>
      <c r="C2" s="227"/>
      <c r="D2" s="227"/>
      <c r="E2" s="227"/>
    </row>
    <row r="4" spans="1:5" x14ac:dyDescent="0.25">
      <c r="A4" s="6"/>
      <c r="B4" s="6"/>
      <c r="C4" s="6"/>
      <c r="D4" s="6"/>
      <c r="E4" s="6"/>
    </row>
    <row r="5" spans="1:5" x14ac:dyDescent="0.25">
      <c r="A5" s="6"/>
      <c r="B5" s="6"/>
      <c r="C5" s="6"/>
      <c r="D5" s="6"/>
      <c r="E5" s="6"/>
    </row>
    <row r="6" spans="1:5" ht="18.75" x14ac:dyDescent="0.3">
      <c r="A6" s="228" t="s">
        <v>154</v>
      </c>
      <c r="B6" s="228"/>
      <c r="C6" s="228"/>
      <c r="D6" s="228"/>
      <c r="E6" s="228"/>
    </row>
    <row r="7" spans="1:5" ht="16.5" thickBot="1" x14ac:dyDescent="0.3">
      <c r="A7" s="7" t="s">
        <v>148</v>
      </c>
      <c r="B7" s="3"/>
      <c r="C7" s="3"/>
      <c r="D7" s="7" t="s">
        <v>149</v>
      </c>
      <c r="E7" s="8"/>
    </row>
    <row r="8" spans="1:5" x14ac:dyDescent="0.25">
      <c r="A8" s="2"/>
      <c r="B8" s="2"/>
      <c r="C8" s="2"/>
      <c r="D8" s="2"/>
      <c r="E8" s="2"/>
    </row>
    <row r="9" spans="1:5" ht="16.5" thickBot="1" x14ac:dyDescent="0.3">
      <c r="A9" s="7" t="s">
        <v>150</v>
      </c>
      <c r="B9" s="9"/>
      <c r="C9" s="9"/>
      <c r="D9" s="7" t="s">
        <v>151</v>
      </c>
      <c r="E9" s="8"/>
    </row>
    <row r="10" spans="1:5" ht="15.75" x14ac:dyDescent="0.25">
      <c r="A10" s="10"/>
      <c r="B10" s="10"/>
      <c r="C10" s="10"/>
      <c r="D10" s="10"/>
      <c r="E10" s="2"/>
    </row>
    <row r="11" spans="1:5" ht="16.5" thickBot="1" x14ac:dyDescent="0.3">
      <c r="A11" s="7" t="s">
        <v>152</v>
      </c>
      <c r="B11" s="9"/>
      <c r="C11" s="9"/>
      <c r="D11" s="9"/>
      <c r="E11" s="3"/>
    </row>
    <row r="12" spans="1:5" ht="15.75" x14ac:dyDescent="0.25">
      <c r="A12" s="10"/>
      <c r="B12" s="10"/>
      <c r="C12" s="10"/>
      <c r="D12" s="10"/>
      <c r="E12" s="2"/>
    </row>
    <row r="13" spans="1:5" ht="16.5" thickBot="1" x14ac:dyDescent="0.3">
      <c r="A13" s="7" t="s">
        <v>153</v>
      </c>
      <c r="B13" s="9"/>
      <c r="C13" s="9"/>
      <c r="D13" s="9"/>
      <c r="E13" s="3"/>
    </row>
    <row r="14" spans="1:5" ht="15.75" thickBot="1" x14ac:dyDescent="0.3">
      <c r="A14" s="2"/>
      <c r="B14" s="2"/>
      <c r="C14" s="2"/>
      <c r="D14" s="2"/>
      <c r="E14" s="2"/>
    </row>
    <row r="15" spans="1:5" ht="15.75" thickBot="1" x14ac:dyDescent="0.3">
      <c r="A15" s="229" t="s">
        <v>104</v>
      </c>
      <c r="B15" s="230"/>
      <c r="D15" s="231" t="s">
        <v>105</v>
      </c>
      <c r="E15" s="230"/>
    </row>
    <row r="16" spans="1:5" x14ac:dyDescent="0.25">
      <c r="A16" s="11" t="s">
        <v>106</v>
      </c>
      <c r="B16" s="12"/>
      <c r="D16" s="11" t="s">
        <v>107</v>
      </c>
      <c r="E16" s="12"/>
    </row>
    <row r="17" spans="1:5" x14ac:dyDescent="0.25">
      <c r="A17" s="13" t="s">
        <v>108</v>
      </c>
      <c r="B17" s="14"/>
      <c r="D17" s="13" t="s">
        <v>109</v>
      </c>
      <c r="E17" s="14"/>
    </row>
    <row r="18" spans="1:5" x14ac:dyDescent="0.25">
      <c r="A18" s="13" t="s">
        <v>110</v>
      </c>
      <c r="B18" s="14"/>
      <c r="D18" s="13" t="s">
        <v>111</v>
      </c>
      <c r="E18" s="14"/>
    </row>
    <row r="19" spans="1:5" x14ac:dyDescent="0.25">
      <c r="A19" s="13" t="s">
        <v>112</v>
      </c>
      <c r="B19" s="14"/>
      <c r="D19" s="13" t="s">
        <v>113</v>
      </c>
      <c r="E19" s="14"/>
    </row>
    <row r="20" spans="1:5" x14ac:dyDescent="0.25">
      <c r="A20" s="13" t="s">
        <v>114</v>
      </c>
      <c r="B20" s="14"/>
      <c r="D20" s="13" t="s">
        <v>115</v>
      </c>
      <c r="E20" s="14"/>
    </row>
    <row r="21" spans="1:5" x14ac:dyDescent="0.25">
      <c r="A21" s="13" t="s">
        <v>116</v>
      </c>
      <c r="B21" s="14"/>
      <c r="D21" s="13" t="s">
        <v>117</v>
      </c>
      <c r="E21" s="14"/>
    </row>
    <row r="22" spans="1:5" x14ac:dyDescent="0.25">
      <c r="A22" s="13" t="s">
        <v>118</v>
      </c>
      <c r="B22" s="14"/>
      <c r="D22" s="13" t="s">
        <v>119</v>
      </c>
      <c r="E22" s="14"/>
    </row>
    <row r="23" spans="1:5" x14ac:dyDescent="0.25">
      <c r="A23" s="13" t="s">
        <v>120</v>
      </c>
      <c r="B23" s="14"/>
    </row>
    <row r="24" spans="1:5" x14ac:dyDescent="0.25">
      <c r="A24" s="13" t="s">
        <v>121</v>
      </c>
      <c r="B24" s="14"/>
    </row>
    <row r="25" spans="1:5" x14ac:dyDescent="0.25">
      <c r="A25" s="13" t="s">
        <v>122</v>
      </c>
      <c r="B25" s="14"/>
    </row>
    <row r="26" spans="1:5" ht="15.75" thickBot="1" x14ac:dyDescent="0.3">
      <c r="A26" s="15"/>
    </row>
    <row r="27" spans="1:5" ht="15.75" thickBot="1" x14ac:dyDescent="0.3">
      <c r="A27" s="229" t="s">
        <v>123</v>
      </c>
      <c r="B27" s="230"/>
    </row>
    <row r="28" spans="1:5" x14ac:dyDescent="0.25">
      <c r="A28" s="16" t="s">
        <v>124</v>
      </c>
    </row>
    <row r="29" spans="1:5" x14ac:dyDescent="0.25">
      <c r="A29" s="13" t="s">
        <v>125</v>
      </c>
      <c r="B29" s="17"/>
    </row>
    <row r="30" spans="1:5" x14ac:dyDescent="0.25">
      <c r="A30" s="13" t="s">
        <v>126</v>
      </c>
      <c r="B30" s="17"/>
    </row>
    <row r="31" spans="1:5" x14ac:dyDescent="0.25">
      <c r="A31" s="13" t="s">
        <v>127</v>
      </c>
      <c r="B31" s="17"/>
    </row>
    <row r="32" spans="1:5" x14ac:dyDescent="0.25">
      <c r="A32" s="13" t="s">
        <v>128</v>
      </c>
      <c r="B32" s="17"/>
    </row>
    <row r="33" spans="1:3" x14ac:dyDescent="0.25">
      <c r="A33" s="18" t="s">
        <v>129</v>
      </c>
      <c r="B33" s="19">
        <f>SUM(B29:B32)</f>
        <v>0</v>
      </c>
    </row>
    <row r="34" spans="1:3" x14ac:dyDescent="0.25">
      <c r="A34" s="20" t="s">
        <v>130</v>
      </c>
      <c r="B34" s="21"/>
    </row>
    <row r="35" spans="1:3" x14ac:dyDescent="0.25">
      <c r="A35" s="13" t="s">
        <v>131</v>
      </c>
      <c r="B35" s="17"/>
    </row>
    <row r="36" spans="1:3" x14ac:dyDescent="0.25">
      <c r="A36" s="13" t="s">
        <v>132</v>
      </c>
      <c r="B36" s="17"/>
    </row>
    <row r="37" spans="1:3" x14ac:dyDescent="0.25">
      <c r="A37" s="13" t="s">
        <v>133</v>
      </c>
      <c r="B37" s="17"/>
    </row>
    <row r="38" spans="1:3" x14ac:dyDescent="0.25">
      <c r="A38" s="18" t="s">
        <v>129</v>
      </c>
      <c r="B38" s="19">
        <f>SUM(B35:B37)</f>
        <v>0</v>
      </c>
    </row>
    <row r="39" spans="1:3" x14ac:dyDescent="0.25">
      <c r="A39" s="22" t="s">
        <v>134</v>
      </c>
      <c r="B39" s="23">
        <f>B33-B38</f>
        <v>0</v>
      </c>
    </row>
    <row r="41" spans="1:3" x14ac:dyDescent="0.25">
      <c r="A41" s="226" t="s">
        <v>135</v>
      </c>
      <c r="B41" s="226"/>
    </row>
    <row r="43" spans="1:3" x14ac:dyDescent="0.25">
      <c r="A43" s="13" t="s">
        <v>136</v>
      </c>
      <c r="B43" s="17"/>
    </row>
    <row r="44" spans="1:3" x14ac:dyDescent="0.25">
      <c r="A44" s="13" t="s">
        <v>137</v>
      </c>
      <c r="B44" s="17"/>
    </row>
    <row r="45" spans="1:3" x14ac:dyDescent="0.25">
      <c r="A45" s="13" t="s">
        <v>138</v>
      </c>
      <c r="B45" s="17"/>
    </row>
    <row r="46" spans="1:3" x14ac:dyDescent="0.25">
      <c r="A46" s="13" t="s">
        <v>139</v>
      </c>
      <c r="B46" s="17"/>
      <c r="C46" s="24"/>
    </row>
    <row r="47" spans="1:3" x14ac:dyDescent="0.25">
      <c r="A47" s="13" t="s">
        <v>140</v>
      </c>
      <c r="B47" s="17"/>
      <c r="C47" s="24"/>
    </row>
    <row r="48" spans="1:3" x14ac:dyDescent="0.25">
      <c r="A48" s="18" t="s">
        <v>129</v>
      </c>
      <c r="B48" s="19">
        <f>SUM(B43:B47)</f>
        <v>0</v>
      </c>
    </row>
  </sheetData>
  <mergeCells count="7">
    <mergeCell ref="A41:B41"/>
    <mergeCell ref="A1:E1"/>
    <mergeCell ref="A2:E2"/>
    <mergeCell ref="A6:E6"/>
    <mergeCell ref="A15:B15"/>
    <mergeCell ref="D15:E15"/>
    <mergeCell ref="A27:B27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REL. JAN</vt:lpstr>
      <vt:lpstr>REL.PESSOAL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 Adamis</dc:creator>
  <cp:lastModifiedBy>Glayds Veiga</cp:lastModifiedBy>
  <dcterms:created xsi:type="dcterms:W3CDTF">2021-04-15T15:13:46Z</dcterms:created>
  <dcterms:modified xsi:type="dcterms:W3CDTF">2026-08-31T12:14:28Z</dcterms:modified>
</cp:coreProperties>
</file>